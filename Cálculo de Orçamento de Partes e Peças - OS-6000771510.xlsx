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ceaneering.sharepoint.com/sites/PCMSSP2997/2/12 - Fabrication/02. Ordens de Serviço/01 - EM COTAÇÃO/6000771510 - 3un do DISPOSITIVO DE ENG. RAP. dos Plugs TVD-4 (DE-3000.00-1521-600-PEH-1386_D3)/04 - ORÇAMENTO OII x Petrobras/"/>
    </mc:Choice>
  </mc:AlternateContent>
  <xr:revisionPtr revIDLastSave="1258" documentId="13_ncr:1_{ECE24B44-46B4-4E0C-B5FA-CC68DD2D6A4C}" xr6:coauthVersionLast="47" xr6:coauthVersionMax="47" xr10:uidLastSave="{378A6F21-838C-4CCD-957A-4157A6C837CF}"/>
  <bookViews>
    <workbookView xWindow="28680" yWindow="-120" windowWidth="29040" windowHeight="15720" tabRatio="543" xr2:uid="{00000000-000D-0000-FFFF-FFFF00000000}"/>
  </bookViews>
  <sheets>
    <sheet name="Partes e Peças" sheetId="7" r:id="rId1"/>
    <sheet name="Summary" sheetId="4" state="hidden" r:id="rId2"/>
  </sheets>
  <definedNames>
    <definedName name="base">#REF!</definedName>
    <definedName name="interest">#REF!</definedName>
    <definedName name="Life">#REF!</definedName>
    <definedName name="Probability">#REF!</definedName>
    <definedName name="Product">#REF!</definedName>
    <definedName name="Repor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4" i="7" l="1"/>
  <c r="AE4" i="7"/>
  <c r="AF4" i="7"/>
  <c r="AD14" i="7" l="1"/>
  <c r="AE14" i="7"/>
  <c r="O14" i="7" s="1"/>
  <c r="AF14" i="7"/>
  <c r="AD15" i="7"/>
  <c r="J15" i="7" s="1"/>
  <c r="AE15" i="7"/>
  <c r="P15" i="7" s="1"/>
  <c r="AF15" i="7"/>
  <c r="AE13" i="7"/>
  <c r="AD13" i="7"/>
  <c r="I13" i="7" s="1"/>
  <c r="U15" i="7"/>
  <c r="AF13" i="7"/>
  <c r="O13" i="7" l="1"/>
  <c r="I14" i="7"/>
  <c r="J14" i="7"/>
  <c r="K14" i="7" s="1"/>
  <c r="L14" i="7" s="1"/>
  <c r="P13" i="7"/>
  <c r="I15" i="7"/>
  <c r="K15" i="7" s="1"/>
  <c r="L15" i="7" s="1"/>
  <c r="O15" i="7"/>
  <c r="Q15" i="7" s="1"/>
  <c r="R15" i="7" s="1"/>
  <c r="P14" i="7"/>
  <c r="Q14" i="7" s="1"/>
  <c r="R14" i="7" s="1"/>
  <c r="J13" i="7"/>
  <c r="K13" i="7" s="1"/>
  <c r="L13" i="7" s="1"/>
  <c r="V13" i="7"/>
  <c r="U13" i="7"/>
  <c r="V15" i="7"/>
  <c r="W15" i="7" s="1"/>
  <c r="X15" i="7" s="1"/>
  <c r="U14" i="7"/>
  <c r="V14" i="7"/>
  <c r="Q13" i="7" l="1"/>
  <c r="R13" i="7" s="1"/>
  <c r="W13" i="7"/>
  <c r="X13" i="7" s="1"/>
  <c r="W14" i="7"/>
  <c r="X14" i="7" s="1"/>
  <c r="H5" i="4"/>
  <c r="G5" i="4"/>
  <c r="J5" i="4" l="1"/>
  <c r="M5" i="4"/>
  <c r="E5" i="4"/>
  <c r="Y16" i="7" l="1"/>
  <c r="F5" i="4"/>
  <c r="I5" i="4" l="1"/>
  <c r="L5" i="4" l="1"/>
  <c r="K5" i="4" l="1"/>
</calcChain>
</file>

<file path=xl/sharedStrings.xml><?xml version="1.0" encoding="utf-8"?>
<sst xmlns="http://schemas.openxmlformats.org/spreadsheetml/2006/main" count="83" uniqueCount="50">
  <si>
    <t>PBR</t>
  </si>
  <si>
    <t>NF</t>
  </si>
  <si>
    <t>Radar</t>
  </si>
  <si>
    <t>Valor do fornecedor</t>
  </si>
  <si>
    <t>Valor pago pela OII</t>
  </si>
  <si>
    <t>Taxa</t>
  </si>
  <si>
    <t>Item</t>
  </si>
  <si>
    <t>Descrição</t>
  </si>
  <si>
    <t>Material</t>
  </si>
  <si>
    <t>PN</t>
  </si>
  <si>
    <t>Qtd.</t>
  </si>
  <si>
    <t>Und.</t>
  </si>
  <si>
    <t>Fornecedor 1</t>
  </si>
  <si>
    <t>Fornecedor 2</t>
  </si>
  <si>
    <t>Fornecedor 3</t>
  </si>
  <si>
    <t>FORNECEDOR 1</t>
  </si>
  <si>
    <t>FORNECEDOR 2</t>
  </si>
  <si>
    <t>FORNECEDOR 3</t>
  </si>
  <si>
    <t>Valor 
Unitário</t>
  </si>
  <si>
    <t>PIS/COFINS
9,25%</t>
  </si>
  <si>
    <t>ISS
2 %</t>
  </si>
  <si>
    <t>Total de impostos 
Unid</t>
  </si>
  <si>
    <t>Custo Total Unid</t>
  </si>
  <si>
    <t>Prazo de Entrega</t>
  </si>
  <si>
    <t>Valor 
P/a Oceaneering
(90,75%)</t>
  </si>
  <si>
    <t>Parafuso Allen Ø 1/4"- 20unc x 25mm (Sext. Interno 3/16”)</t>
  </si>
  <si>
    <t>ASTM A193</t>
  </si>
  <si>
    <t>Porca Sextavada Ø 1/4" – 20unc</t>
  </si>
  <si>
    <t>ENGATE RÁPIDO FÊMEA PCL 6901-06-8SS</t>
  </si>
  <si>
    <t>TOTAL</t>
  </si>
  <si>
    <t>Considering only the ROV Crew</t>
  </si>
  <si>
    <t>Scenario</t>
  </si>
  <si>
    <t>2+2/ 3+3 Years</t>
  </si>
  <si>
    <t>NBV</t>
  </si>
  <si>
    <t>Cost to meet Specification</t>
  </si>
  <si>
    <t>Total Cost</t>
  </si>
  <si>
    <t>Equipment rate</t>
  </si>
  <si>
    <t>Personnel Rate</t>
  </si>
  <si>
    <t>Total Day rate (Net taxes)</t>
  </si>
  <si>
    <t>Total Day rate (Tax Inclusive)</t>
  </si>
  <si>
    <t>IRR</t>
  </si>
  <si>
    <t>Payout Years</t>
  </si>
  <si>
    <t>Economics considered over</t>
  </si>
  <si>
    <t>Ext Mill + Ext Mag</t>
  </si>
  <si>
    <t/>
  </si>
  <si>
    <t>Ext Mill</t>
  </si>
  <si>
    <t>Ext Mag</t>
  </si>
  <si>
    <t>New Mill + New Mag</t>
  </si>
  <si>
    <t xml:space="preserve">New Mill </t>
  </si>
  <si>
    <t>New Mag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</si>
</sst>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0.0%"/>
    <numFmt numFmtId="165" formatCode="&quot;$&quot;#,##0.00"/>
    <numFmt numFmtId="166" formatCode="_(&quot;R$ &quot;* #,##0.00_);_(&quot;R$ &quot;* \(#,##0.00\);_(&quot;R$ &quot;* &quot;-&quot;??_);_(@_)"/>
    <numFmt numFmtId="167" formatCode="_-[$R$-416]\ * #,##0.00_-;\-[$R$-416]\ * #,##0.00_-;_-[$R$-416]\ * &quot;-&quot;??_-;_-@_-"/>
    <numFmt numFmtId="168" formatCode="&quot;R$&quot;\ #,##0.00"/>
  </numFmts>
  <fonts count="1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color rgb="FF000000"/>
      <name val="Aptos Narrow"/>
      <family val="2"/>
    </font>
    <font>
      <sz val="10"/>
      <name val="Aptos Narrow"/>
      <family val="2"/>
    </font>
    <font>
      <sz val="10"/>
      <color theme="1"/>
      <name val="Aptos Narrow"/>
      <family val="2"/>
    </font>
    <font>
      <sz val="11"/>
      <name val="Aptos Narrow"/>
      <family val="2"/>
    </font>
    <font>
      <sz val="9"/>
      <name val="Aptos Narrow"/>
      <family val="2"/>
    </font>
    <font>
      <b/>
      <sz val="12"/>
      <color theme="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3B5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2">
    <xf numFmtId="0" fontId="0" fillId="0" borderId="0"/>
    <xf numFmtId="3" fontId="4" fillId="0" borderId="0" applyFont="0" applyFill="0" applyBorder="0" applyAlignment="0" applyProtection="0"/>
    <xf numFmtId="0" fontId="3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</cellStyleXfs>
  <cellXfs count="74">
    <xf numFmtId="3" fontId="0" fillId="0" borderId="0" xfId="0" applyNumberFormat="1"/>
    <xf numFmtId="165" fontId="0" fillId="0" borderId="0" xfId="0" applyNumberFormat="1"/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165" fontId="5" fillId="2" borderId="1" xfId="0" applyNumberFormat="1" applyFont="1" applyFill="1" applyBorder="1"/>
    <xf numFmtId="0" fontId="0" fillId="0" borderId="7" xfId="0" applyBorder="1"/>
    <xf numFmtId="165" fontId="0" fillId="0" borderId="8" xfId="0" applyNumberFormat="1" applyBorder="1"/>
    <xf numFmtId="165" fontId="5" fillId="0" borderId="9" xfId="0" applyNumberFormat="1" applyFont="1" applyBorder="1"/>
    <xf numFmtId="165" fontId="0" fillId="0" borderId="7" xfId="0" applyNumberFormat="1" applyBorder="1"/>
    <xf numFmtId="165" fontId="0" fillId="0" borderId="9" xfId="0" applyNumberFormat="1" applyBorder="1"/>
    <xf numFmtId="164" fontId="0" fillId="0" borderId="7" xfId="0" applyNumberFormat="1" applyBorder="1"/>
    <xf numFmtId="0" fontId="0" fillId="0" borderId="9" xfId="0" applyBorder="1"/>
    <xf numFmtId="0" fontId="6" fillId="0" borderId="0" xfId="0" applyFont="1"/>
    <xf numFmtId="3" fontId="0" fillId="0" borderId="10" xfId="0" applyNumberFormat="1" applyBorder="1" applyAlignment="1">
      <alignment horizontal="center"/>
    </xf>
    <xf numFmtId="0" fontId="0" fillId="0" borderId="0" xfId="0" quotePrefix="1"/>
    <xf numFmtId="0" fontId="0" fillId="0" borderId="0" xfId="0" applyAlignment="1">
      <alignment horizontal="left"/>
    </xf>
    <xf numFmtId="3" fontId="11" fillId="0" borderId="0" xfId="0" applyNumberFormat="1" applyFont="1"/>
    <xf numFmtId="0" fontId="12" fillId="0" borderId="0" xfId="0" applyFont="1" applyAlignment="1">
      <alignment horizontal="center" vertical="center"/>
    </xf>
    <xf numFmtId="3" fontId="13" fillId="0" borderId="0" xfId="0" applyNumberFormat="1" applyFont="1"/>
    <xf numFmtId="10" fontId="11" fillId="0" borderId="0" xfId="3" applyNumberFormat="1" applyFont="1" applyAlignment="1">
      <alignment horizontal="center"/>
    </xf>
    <xf numFmtId="3" fontId="11" fillId="0" borderId="0" xfId="0" applyNumberFormat="1" applyFont="1" applyAlignment="1">
      <alignment horizontal="center"/>
    </xf>
    <xf numFmtId="9" fontId="11" fillId="0" borderId="0" xfId="3" applyFont="1" applyAlignment="1">
      <alignment horizontal="center"/>
    </xf>
    <xf numFmtId="3" fontId="14" fillId="0" borderId="0" xfId="0" applyNumberFormat="1" applyFont="1"/>
    <xf numFmtId="3" fontId="14" fillId="0" borderId="0" xfId="0" applyNumberFormat="1" applyFont="1" applyAlignment="1">
      <alignment horizontal="center" vertical="center"/>
    </xf>
    <xf numFmtId="9" fontId="14" fillId="0" borderId="0" xfId="3" applyFont="1" applyAlignment="1">
      <alignment horizontal="center" vertical="center"/>
    </xf>
    <xf numFmtId="168" fontId="11" fillId="5" borderId="12" xfId="4" applyNumberFormat="1" applyFont="1" applyFill="1" applyBorder="1" applyAlignment="1">
      <alignment horizontal="center" vertical="center"/>
    </xf>
    <xf numFmtId="3" fontId="11" fillId="0" borderId="16" xfId="0" applyNumberFormat="1" applyFont="1" applyBorder="1" applyAlignment="1">
      <alignment vertical="center"/>
    </xf>
    <xf numFmtId="3" fontId="11" fillId="0" borderId="22" xfId="0" applyNumberFormat="1" applyFont="1" applyBorder="1" applyAlignment="1" applyProtection="1">
      <alignment horizontal="center" vertical="center"/>
      <protection locked="0"/>
    </xf>
    <xf numFmtId="3" fontId="10" fillId="0" borderId="17" xfId="0" applyNumberFormat="1" applyFont="1" applyBorder="1" applyAlignment="1" applyProtection="1">
      <alignment horizontal="center" vertical="center" wrapText="1"/>
      <protection locked="0"/>
    </xf>
    <xf numFmtId="49" fontId="11" fillId="0" borderId="17" xfId="2" applyNumberFormat="1" applyFont="1" applyBorder="1" applyAlignment="1" applyProtection="1">
      <alignment horizontal="center" vertical="center"/>
      <protection locked="0"/>
    </xf>
    <xf numFmtId="167" fontId="11" fillId="0" borderId="12" xfId="4" applyNumberFormat="1" applyFont="1" applyFill="1" applyBorder="1" applyAlignment="1" applyProtection="1">
      <alignment horizontal="center" vertical="center"/>
      <protection locked="0"/>
    </xf>
    <xf numFmtId="168" fontId="11" fillId="0" borderId="12" xfId="3" applyNumberFormat="1" applyFont="1" applyBorder="1" applyAlignment="1" applyProtection="1">
      <alignment horizontal="center" vertical="center"/>
      <protection locked="0"/>
    </xf>
    <xf numFmtId="3" fontId="10" fillId="0" borderId="12" xfId="0" applyNumberFormat="1" applyFont="1" applyBorder="1" applyAlignment="1" applyProtection="1">
      <alignment horizontal="center" vertical="center" wrapText="1"/>
      <protection locked="0"/>
    </xf>
    <xf numFmtId="3" fontId="11" fillId="0" borderId="14" xfId="0" applyNumberFormat="1" applyFont="1" applyBorder="1" applyAlignment="1" applyProtection="1">
      <alignment horizontal="center" vertical="center"/>
      <protection locked="0"/>
    </xf>
    <xf numFmtId="49" fontId="11" fillId="0" borderId="12" xfId="2" applyNumberFormat="1" applyFont="1" applyBorder="1" applyAlignment="1" applyProtection="1">
      <alignment horizontal="center" vertical="center"/>
      <protection locked="0"/>
    </xf>
    <xf numFmtId="167" fontId="10" fillId="0" borderId="12" xfId="0" applyNumberFormat="1" applyFont="1" applyBorder="1" applyAlignment="1" applyProtection="1">
      <alignment horizontal="center" vertical="center" wrapText="1"/>
      <protection locked="0"/>
    </xf>
    <xf numFmtId="167" fontId="11" fillId="0" borderId="15" xfId="0" applyNumberFormat="1" applyFont="1" applyBorder="1" applyAlignment="1" applyProtection="1">
      <alignment horizontal="center" vertical="center"/>
      <protection locked="0"/>
    </xf>
    <xf numFmtId="168" fontId="11" fillId="0" borderId="12" xfId="4" applyNumberFormat="1" applyFont="1" applyBorder="1" applyAlignment="1" applyProtection="1">
      <alignment horizontal="center" vertical="center"/>
    </xf>
    <xf numFmtId="3" fontId="15" fillId="3" borderId="27" xfId="2" applyNumberFormat="1" applyFont="1" applyFill="1" applyBorder="1" applyAlignment="1">
      <alignment horizontal="center" vertical="center" wrapText="1"/>
    </xf>
    <xf numFmtId="3" fontId="15" fillId="3" borderId="28" xfId="2" applyNumberFormat="1" applyFont="1" applyFill="1" applyBorder="1" applyAlignment="1">
      <alignment horizontal="center" vertical="center" wrapText="1"/>
    </xf>
    <xf numFmtId="3" fontId="15" fillId="3" borderId="29" xfId="2" applyNumberFormat="1" applyFont="1" applyFill="1" applyBorder="1" applyAlignment="1">
      <alignment horizontal="center" vertical="center" wrapText="1"/>
    </xf>
    <xf numFmtId="3" fontId="15" fillId="3" borderId="13" xfId="2" applyNumberFormat="1" applyFont="1" applyFill="1" applyBorder="1" applyAlignment="1">
      <alignment horizontal="center" vertical="center" wrapText="1"/>
    </xf>
    <xf numFmtId="3" fontId="15" fillId="3" borderId="12" xfId="2" applyNumberFormat="1" applyFont="1" applyFill="1" applyBorder="1" applyAlignment="1">
      <alignment horizontal="center" vertical="center" wrapText="1"/>
    </xf>
    <xf numFmtId="10" fontId="11" fillId="0" borderId="0" xfId="3" applyNumberFormat="1" applyFont="1" applyAlignment="1">
      <alignment horizontal="center" vertical="center"/>
    </xf>
    <xf numFmtId="10" fontId="11" fillId="0" borderId="25" xfId="3" applyNumberFormat="1" applyFont="1" applyBorder="1" applyAlignment="1">
      <alignment horizontal="center" vertical="center"/>
    </xf>
    <xf numFmtId="3" fontId="15" fillId="4" borderId="13" xfId="2" applyNumberFormat="1" applyFont="1" applyFill="1" applyBorder="1" applyAlignment="1">
      <alignment horizontal="center" vertical="center" wrapText="1"/>
    </xf>
    <xf numFmtId="3" fontId="15" fillId="4" borderId="12" xfId="2" applyNumberFormat="1" applyFont="1" applyFill="1" applyBorder="1" applyAlignment="1">
      <alignment horizontal="center" vertical="center" wrapText="1"/>
    </xf>
    <xf numFmtId="3" fontId="15" fillId="3" borderId="20" xfId="2" applyNumberFormat="1" applyFont="1" applyFill="1" applyBorder="1" applyAlignment="1">
      <alignment horizontal="center" vertical="center" wrapText="1"/>
    </xf>
    <xf numFmtId="3" fontId="15" fillId="3" borderId="21" xfId="2" applyNumberFormat="1" applyFont="1" applyFill="1" applyBorder="1" applyAlignment="1">
      <alignment horizontal="center" vertical="center" wrapText="1"/>
    </xf>
    <xf numFmtId="3" fontId="15" fillId="3" borderId="19" xfId="2" applyNumberFormat="1" applyFont="1" applyFill="1" applyBorder="1" applyAlignment="1">
      <alignment horizontal="center" vertical="center" wrapText="1"/>
    </xf>
    <xf numFmtId="3" fontId="15" fillId="3" borderId="19" xfId="2" applyNumberFormat="1" applyFont="1" applyFill="1" applyBorder="1" applyAlignment="1" applyProtection="1">
      <alignment horizontal="center" vertical="center" wrapText="1"/>
      <protection locked="0"/>
    </xf>
    <xf numFmtId="3" fontId="15" fillId="3" borderId="20" xfId="2" applyNumberFormat="1" applyFont="1" applyFill="1" applyBorder="1" applyAlignment="1" applyProtection="1">
      <alignment horizontal="center" vertical="center" wrapText="1"/>
      <protection locked="0"/>
    </xf>
    <xf numFmtId="3" fontId="15" fillId="3" borderId="21" xfId="2" applyNumberFormat="1" applyFont="1" applyFill="1" applyBorder="1" applyAlignment="1" applyProtection="1">
      <alignment horizontal="center" vertical="center" wrapText="1"/>
      <protection locked="0"/>
    </xf>
    <xf numFmtId="3" fontId="15" fillId="3" borderId="24" xfId="2" applyNumberFormat="1" applyFont="1" applyFill="1" applyBorder="1" applyAlignment="1">
      <alignment horizontal="center" vertical="center" wrapText="1"/>
    </xf>
    <xf numFmtId="3" fontId="15" fillId="3" borderId="26" xfId="2" applyNumberFormat="1" applyFont="1" applyFill="1" applyBorder="1" applyAlignment="1">
      <alignment horizontal="center" vertical="center" wrapText="1"/>
    </xf>
    <xf numFmtId="3" fontId="15" fillId="3" borderId="18" xfId="2" applyNumberFormat="1" applyFont="1" applyFill="1" applyBorder="1" applyAlignment="1">
      <alignment horizontal="center" vertical="center" wrapText="1"/>
    </xf>
    <xf numFmtId="3" fontId="15" fillId="3" borderId="17" xfId="2" applyNumberFormat="1" applyFont="1" applyFill="1" applyBorder="1" applyAlignment="1">
      <alignment horizontal="center" vertical="center" wrapText="1"/>
    </xf>
    <xf numFmtId="3" fontId="11" fillId="0" borderId="19" xfId="0" applyNumberFormat="1" applyFont="1" applyBorder="1" applyAlignment="1" applyProtection="1">
      <alignment horizontal="center" vertical="center"/>
      <protection locked="0"/>
    </xf>
    <xf numFmtId="3" fontId="11" fillId="0" borderId="20" xfId="0" applyNumberFormat="1" applyFont="1" applyBorder="1" applyAlignment="1" applyProtection="1">
      <alignment horizontal="center" vertical="center"/>
      <protection locked="0"/>
    </xf>
    <xf numFmtId="3" fontId="11" fillId="0" borderId="21" xfId="0" applyNumberFormat="1" applyFont="1" applyBorder="1" applyAlignment="1" applyProtection="1">
      <alignment horizontal="center" vertical="center"/>
      <protection locked="0"/>
    </xf>
    <xf numFmtId="3" fontId="15" fillId="3" borderId="27" xfId="0" applyNumberFormat="1" applyFont="1" applyFill="1" applyBorder="1" applyAlignment="1">
      <alignment horizontal="center" vertical="center"/>
    </xf>
    <xf numFmtId="3" fontId="15" fillId="3" borderId="28" xfId="0" applyNumberFormat="1" applyFont="1" applyFill="1" applyBorder="1" applyAlignment="1">
      <alignment horizontal="center" vertical="center"/>
    </xf>
    <xf numFmtId="3" fontId="15" fillId="3" borderId="29" xfId="0" applyNumberFormat="1" applyFont="1" applyFill="1" applyBorder="1" applyAlignment="1">
      <alignment horizontal="center" vertical="center"/>
    </xf>
    <xf numFmtId="3" fontId="15" fillId="3" borderId="23" xfId="2" applyNumberFormat="1" applyFont="1" applyFill="1" applyBorder="1" applyAlignment="1">
      <alignment horizontal="center" vertical="center" wrapText="1"/>
    </xf>
    <xf numFmtId="3" fontId="15" fillId="3" borderId="23" xfId="2" applyNumberFormat="1" applyFont="1" applyFill="1" applyBorder="1" applyAlignment="1" applyProtection="1">
      <alignment horizontal="center" vertical="center" wrapText="1"/>
      <protection locked="0"/>
    </xf>
    <xf numFmtId="3" fontId="15" fillId="3" borderId="24" xfId="2" applyNumberFormat="1" applyFont="1" applyFill="1" applyBorder="1" applyAlignment="1" applyProtection="1">
      <alignment horizontal="center" vertical="center" wrapText="1"/>
      <protection locked="0"/>
    </xf>
    <xf numFmtId="0" fontId="7" fillId="0" borderId="11" xfId="0" applyFont="1" applyBorder="1" applyAlignment="1">
      <alignment horizontal="center" vertical="center"/>
    </xf>
  </cellXfs>
  <cellStyles count="12">
    <cellStyle name="Comma0" xfId="1" xr:uid="{00000000-0005-0000-0000-000000000000}"/>
    <cellStyle name="Comma0 2" xfId="7" xr:uid="{00000000-0005-0000-0000-000001000000}"/>
    <cellStyle name="Currency" xfId="4" builtinId="4"/>
    <cellStyle name="Currency 2" xfId="9" xr:uid="{00000000-0005-0000-0000-000003000000}"/>
    <cellStyle name="Currency 2 2" xfId="6" xr:uid="{00000000-0005-0000-0000-000004000000}"/>
    <cellStyle name="Currency 2 2 2" xfId="11" xr:uid="{00000000-0005-0000-0000-000005000000}"/>
    <cellStyle name="Normal" xfId="0" builtinId="0"/>
    <cellStyle name="Normal 2" xfId="2" xr:uid="{00000000-0005-0000-0000-000007000000}"/>
    <cellStyle name="Normal 3" xfId="5" xr:uid="{00000000-0005-0000-0000-000008000000}"/>
    <cellStyle name="Normal 3 2" xfId="10" xr:uid="{00000000-0005-0000-0000-000009000000}"/>
    <cellStyle name="Percent" xfId="3" builtinId="5"/>
    <cellStyle name="Percent 2" xfId="8" xr:uid="{00000000-0005-0000-0000-00000B000000}"/>
  </cellStyles>
  <dxfs count="0"/>
  <tableStyles count="0" defaultTableStyle="TableStyleMedium9" defaultPivotStyle="PivotStyleLight16"/>
  <colors>
    <mruColors>
      <color rgb="FF003B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5165A-DB4C-4A3A-9CC6-49EEFC798AE1}">
  <sheetPr>
    <pageSetUpPr fitToPage="1"/>
  </sheetPr>
  <dimension ref="B1:AF19"/>
  <sheetViews>
    <sheetView showGridLines="0" tabSelected="1" zoomScale="70" zoomScaleNormal="70" workbookViewId="0">
      <selection activeCell="F14" sqref="F14"/>
    </sheetView>
  </sheetViews>
  <sheetFormatPr defaultColWidth="9.140625" defaultRowHeight="13.5" customHeight="1"/>
  <cols>
    <col min="1" max="1" width="2.7109375" style="23" customWidth="1"/>
    <col min="2" max="2" width="8.28515625" style="23" customWidth="1"/>
    <col min="3" max="4" width="41.140625" style="23" customWidth="1"/>
    <col min="5" max="5" width="20.42578125" style="23" customWidth="1"/>
    <col min="6" max="19" width="10.85546875" style="23" customWidth="1"/>
    <col min="20" max="20" width="11.42578125" style="23" customWidth="1"/>
    <col min="21" max="21" width="12.28515625" style="23" bestFit="1" customWidth="1"/>
    <col min="22" max="22" width="7.140625" style="23" bestFit="1" customWidth="1"/>
    <col min="23" max="23" width="16.28515625" style="23" customWidth="1"/>
    <col min="24" max="24" width="15.140625" style="23" customWidth="1"/>
    <col min="25" max="25" width="12.42578125" style="23" customWidth="1"/>
    <col min="26" max="29" width="9.140625" style="23"/>
    <col min="30" max="32" width="23.42578125" style="23" customWidth="1"/>
    <col min="33" max="16384" width="9.140625" style="23"/>
  </cols>
  <sheetData>
    <row r="1" spans="2:32" ht="13.5" customHeight="1">
      <c r="B1" s="27" t="s">
        <v>0</v>
      </c>
      <c r="C1" s="27" t="s">
        <v>0</v>
      </c>
      <c r="D1" s="27"/>
      <c r="E1" s="27" t="s">
        <v>0</v>
      </c>
      <c r="F1" s="27" t="s">
        <v>0</v>
      </c>
      <c r="G1" s="27" t="s">
        <v>0</v>
      </c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 t="s">
        <v>0</v>
      </c>
      <c r="U1" s="27" t="s">
        <v>0</v>
      </c>
      <c r="V1" s="27" t="s">
        <v>0</v>
      </c>
      <c r="W1" s="27" t="s">
        <v>0</v>
      </c>
      <c r="X1" s="27" t="s">
        <v>0</v>
      </c>
      <c r="Y1" s="27" t="s">
        <v>0</v>
      </c>
    </row>
    <row r="2" spans="2:32" ht="13.5" customHeight="1">
      <c r="T2" s="27" t="s">
        <v>1</v>
      </c>
      <c r="AD2" s="27" t="s">
        <v>2</v>
      </c>
      <c r="AE2" s="27" t="s">
        <v>2</v>
      </c>
      <c r="AF2" s="27" t="s">
        <v>2</v>
      </c>
    </row>
    <row r="3" spans="2:32" s="29" customFormat="1" ht="13.5" customHeight="1">
      <c r="T3" s="30" t="s">
        <v>3</v>
      </c>
      <c r="AD3" s="31" t="s">
        <v>4</v>
      </c>
      <c r="AE3" s="31" t="s">
        <v>4</v>
      </c>
      <c r="AF3" s="31" t="s">
        <v>4</v>
      </c>
    </row>
    <row r="4" spans="2:32" ht="12.95">
      <c r="T4" s="27" t="s">
        <v>5</v>
      </c>
      <c r="U4" s="26">
        <v>9.2499999999999999E-2</v>
      </c>
      <c r="V4" s="28">
        <v>0.02</v>
      </c>
      <c r="Y4" s="24"/>
      <c r="AD4" s="26">
        <f>90.75%</f>
        <v>0.90749999999999997</v>
      </c>
      <c r="AE4" s="26">
        <f>90.75%</f>
        <v>0.90749999999999997</v>
      </c>
      <c r="AF4" s="26">
        <f>90.75%</f>
        <v>0.90749999999999997</v>
      </c>
    </row>
    <row r="5" spans="2:32" ht="12.95">
      <c r="T5" s="27"/>
      <c r="U5" s="26"/>
      <c r="V5" s="28"/>
      <c r="Y5" s="24"/>
      <c r="AD5" s="26"/>
      <c r="AE5" s="26"/>
      <c r="AF5" s="26"/>
    </row>
    <row r="6" spans="2:32" ht="12.95">
      <c r="T6" s="27"/>
      <c r="U6" s="26"/>
      <c r="V6" s="28"/>
      <c r="Y6" s="24"/>
      <c r="AD6" s="26"/>
      <c r="AE6" s="26"/>
      <c r="AF6" s="26"/>
    </row>
    <row r="7" spans="2:32" ht="12.95">
      <c r="T7" s="27"/>
      <c r="U7" s="26"/>
      <c r="V7" s="28"/>
      <c r="Y7" s="24"/>
      <c r="AD7" s="26"/>
      <c r="AE7" s="26"/>
      <c r="AF7" s="26"/>
    </row>
    <row r="8" spans="2:32" thickBot="1">
      <c r="T8" s="27"/>
      <c r="U8" s="26"/>
      <c r="V8" s="28"/>
      <c r="Y8" s="24"/>
      <c r="AD8" s="26"/>
      <c r="AE8" s="26"/>
      <c r="AF8" s="26"/>
    </row>
    <row r="9" spans="2:32" ht="24.6" customHeight="1" thickBot="1">
      <c r="B9" s="67" t="s">
        <v>6</v>
      </c>
      <c r="C9" s="45" t="s">
        <v>7</v>
      </c>
      <c r="D9" s="45" t="s">
        <v>8</v>
      </c>
      <c r="E9" s="45" t="s">
        <v>9</v>
      </c>
      <c r="F9" s="45" t="s">
        <v>10</v>
      </c>
      <c r="G9" s="45" t="s">
        <v>11</v>
      </c>
      <c r="H9" s="54" t="s">
        <v>12</v>
      </c>
      <c r="I9" s="54"/>
      <c r="J9" s="54"/>
      <c r="K9" s="54"/>
      <c r="L9" s="54"/>
      <c r="M9" s="55"/>
      <c r="N9" s="56" t="s">
        <v>13</v>
      </c>
      <c r="O9" s="54"/>
      <c r="P9" s="54"/>
      <c r="Q9" s="54"/>
      <c r="R9" s="54"/>
      <c r="S9" s="55"/>
      <c r="T9" s="70" t="s">
        <v>14</v>
      </c>
      <c r="U9" s="70"/>
      <c r="V9" s="70"/>
      <c r="W9" s="70"/>
      <c r="X9" s="70"/>
      <c r="Y9" s="60"/>
      <c r="AD9" s="50" t="s">
        <v>15</v>
      </c>
      <c r="AE9" s="50" t="s">
        <v>16</v>
      </c>
      <c r="AF9" s="50" t="s">
        <v>17</v>
      </c>
    </row>
    <row r="10" spans="2:32" ht="24.6" customHeight="1" thickBot="1">
      <c r="B10" s="68"/>
      <c r="C10" s="46"/>
      <c r="D10" s="46"/>
      <c r="E10" s="46"/>
      <c r="F10" s="46"/>
      <c r="G10" s="46"/>
      <c r="H10" s="58"/>
      <c r="I10" s="58"/>
      <c r="J10" s="58"/>
      <c r="K10" s="58"/>
      <c r="L10" s="58"/>
      <c r="M10" s="59"/>
      <c r="N10" s="57"/>
      <c r="O10" s="58"/>
      <c r="P10" s="58"/>
      <c r="Q10" s="58"/>
      <c r="R10" s="58"/>
      <c r="S10" s="59"/>
      <c r="T10" s="71"/>
      <c r="U10" s="71"/>
      <c r="V10" s="71"/>
      <c r="W10" s="71"/>
      <c r="X10" s="71"/>
      <c r="Y10" s="72"/>
      <c r="AD10" s="51"/>
      <c r="AE10" s="51"/>
      <c r="AF10" s="51"/>
    </row>
    <row r="11" spans="2:32" s="25" customFormat="1" ht="20.25" customHeight="1">
      <c r="B11" s="68"/>
      <c r="C11" s="46"/>
      <c r="D11" s="46"/>
      <c r="E11" s="46"/>
      <c r="F11" s="46"/>
      <c r="G11" s="46"/>
      <c r="H11" s="60" t="s">
        <v>18</v>
      </c>
      <c r="I11" s="62" t="s">
        <v>19</v>
      </c>
      <c r="J11" s="62" t="s">
        <v>20</v>
      </c>
      <c r="K11" s="62" t="s">
        <v>21</v>
      </c>
      <c r="L11" s="52" t="s">
        <v>22</v>
      </c>
      <c r="M11" s="52" t="s">
        <v>23</v>
      </c>
      <c r="N11" s="48" t="s">
        <v>18</v>
      </c>
      <c r="O11" s="48" t="s">
        <v>19</v>
      </c>
      <c r="P11" s="48" t="s">
        <v>20</v>
      </c>
      <c r="Q11" s="48" t="s">
        <v>21</v>
      </c>
      <c r="R11" s="52" t="s">
        <v>22</v>
      </c>
      <c r="S11" s="52" t="s">
        <v>23</v>
      </c>
      <c r="T11" s="48" t="s">
        <v>18</v>
      </c>
      <c r="U11" s="48" t="s">
        <v>19</v>
      </c>
      <c r="V11" s="48" t="s">
        <v>20</v>
      </c>
      <c r="W11" s="48" t="s">
        <v>21</v>
      </c>
      <c r="X11" s="52" t="s">
        <v>22</v>
      </c>
      <c r="Y11" s="52" t="s">
        <v>23</v>
      </c>
      <c r="AD11" s="48" t="s">
        <v>24</v>
      </c>
      <c r="AE11" s="48" t="s">
        <v>24</v>
      </c>
      <c r="AF11" s="48" t="s">
        <v>24</v>
      </c>
    </row>
    <row r="12" spans="2:32" s="25" customFormat="1" ht="45" customHeight="1" thickBot="1">
      <c r="B12" s="69"/>
      <c r="C12" s="47"/>
      <c r="D12" s="47"/>
      <c r="E12" s="47"/>
      <c r="F12" s="47"/>
      <c r="G12" s="47"/>
      <c r="H12" s="61"/>
      <c r="I12" s="63"/>
      <c r="J12" s="63"/>
      <c r="K12" s="63"/>
      <c r="L12" s="53"/>
      <c r="M12" s="53"/>
      <c r="N12" s="49"/>
      <c r="O12" s="49"/>
      <c r="P12" s="49"/>
      <c r="Q12" s="49"/>
      <c r="R12" s="53"/>
      <c r="S12" s="53"/>
      <c r="T12" s="49"/>
      <c r="U12" s="49"/>
      <c r="V12" s="49"/>
      <c r="W12" s="49"/>
      <c r="X12" s="53"/>
      <c r="Y12" s="53"/>
      <c r="AD12" s="49"/>
      <c r="AE12" s="49"/>
      <c r="AF12" s="49"/>
    </row>
    <row r="13" spans="2:32" ht="30" customHeight="1">
      <c r="B13" s="34">
        <v>1</v>
      </c>
      <c r="C13" s="35" t="s">
        <v>25</v>
      </c>
      <c r="D13" s="35" t="s">
        <v>26</v>
      </c>
      <c r="E13" s="36"/>
      <c r="F13" s="35">
        <v>1</v>
      </c>
      <c r="G13" s="35" t="s">
        <v>11</v>
      </c>
      <c r="H13" s="37">
        <v>10</v>
      </c>
      <c r="I13" s="44">
        <f>AD13*$U$4</f>
        <v>0.83943749999999995</v>
      </c>
      <c r="J13" s="44">
        <f>AD13*$V$4</f>
        <v>0.18149999999999999</v>
      </c>
      <c r="K13" s="44">
        <f>I13+J13</f>
        <v>1.0209375000000001</v>
      </c>
      <c r="L13" s="44">
        <f>(AD13+K13)*F13</f>
        <v>10.0959375</v>
      </c>
      <c r="M13" s="38"/>
      <c r="N13" s="37"/>
      <c r="O13" s="44">
        <f>AE13*$U$4</f>
        <v>0</v>
      </c>
      <c r="P13" s="44">
        <f>AE13*$V$4</f>
        <v>0</v>
      </c>
      <c r="Q13" s="44">
        <f>O13+P13</f>
        <v>0</v>
      </c>
      <c r="R13" s="44">
        <f>(AE13+Q13)*F13</f>
        <v>0</v>
      </c>
      <c r="S13" s="39"/>
      <c r="T13" s="37"/>
      <c r="U13" s="44">
        <f t="shared" ref="U13:U15" si="0">AF13*$U$4</f>
        <v>0</v>
      </c>
      <c r="V13" s="44">
        <f t="shared" ref="V13:V15" si="1">AF13*$V$4</f>
        <v>0</v>
      </c>
      <c r="W13" s="44">
        <f>U13+V13</f>
        <v>0</v>
      </c>
      <c r="X13" s="44">
        <f>(AF13+W13)*F13</f>
        <v>0</v>
      </c>
      <c r="Y13" s="38"/>
      <c r="AD13" s="32">
        <f>H13*$AF$4</f>
        <v>9.0749999999999993</v>
      </c>
      <c r="AE13" s="32">
        <f>N13*$AF$4</f>
        <v>0</v>
      </c>
      <c r="AF13" s="32">
        <f t="shared" ref="AF13" si="2">T13*$AF$4</f>
        <v>0</v>
      </c>
    </row>
    <row r="14" spans="2:32" ht="30" customHeight="1">
      <c r="B14" s="40">
        <v>2</v>
      </c>
      <c r="C14" s="39" t="s">
        <v>27</v>
      </c>
      <c r="D14" s="39" t="s">
        <v>26</v>
      </c>
      <c r="E14" s="41"/>
      <c r="F14" s="39">
        <v>12</v>
      </c>
      <c r="G14" s="39" t="s">
        <v>11</v>
      </c>
      <c r="H14" s="37"/>
      <c r="I14" s="44">
        <f t="shared" ref="I14:I15" si="3">AD14*$U$4</f>
        <v>0</v>
      </c>
      <c r="J14" s="44">
        <f t="shared" ref="J14:J15" si="4">AD14*$V$4</f>
        <v>0</v>
      </c>
      <c r="K14" s="44">
        <f t="shared" ref="K14:K15" si="5">I14+J14</f>
        <v>0</v>
      </c>
      <c r="L14" s="44">
        <f t="shared" ref="L14:L15" si="6">(AD14+K14)*F14</f>
        <v>0</v>
      </c>
      <c r="M14" s="39"/>
      <c r="N14" s="37"/>
      <c r="O14" s="44">
        <f t="shared" ref="O14:O15" si="7">AE14*$U$4</f>
        <v>0</v>
      </c>
      <c r="P14" s="44">
        <f t="shared" ref="P14:P15" si="8">AE14*$V$4</f>
        <v>0</v>
      </c>
      <c r="Q14" s="44">
        <f t="shared" ref="Q14:Q15" si="9">O14+P14</f>
        <v>0</v>
      </c>
      <c r="R14" s="44">
        <f t="shared" ref="R14:R15" si="10">(AE14+Q14)*F14</f>
        <v>0</v>
      </c>
      <c r="S14" s="39"/>
      <c r="T14" s="37"/>
      <c r="U14" s="44">
        <f t="shared" si="0"/>
        <v>0</v>
      </c>
      <c r="V14" s="44">
        <f t="shared" si="1"/>
        <v>0</v>
      </c>
      <c r="W14" s="44">
        <f t="shared" ref="W14:W15" si="11">U14+V14</f>
        <v>0</v>
      </c>
      <c r="X14" s="44">
        <f t="shared" ref="X14:X15" si="12">(AF14+W14)*F14</f>
        <v>0</v>
      </c>
      <c r="Y14" s="38"/>
      <c r="AD14" s="32">
        <f t="shared" ref="AD14:AD15" si="13">H14*$AF$4</f>
        <v>0</v>
      </c>
      <c r="AE14" s="32">
        <f t="shared" ref="AE14:AE15" si="14">N14*$AF$4</f>
        <v>0</v>
      </c>
      <c r="AF14" s="32">
        <f t="shared" ref="AF14:AF15" si="15">T14*$AF$4</f>
        <v>0</v>
      </c>
    </row>
    <row r="15" spans="2:32" ht="30" customHeight="1" thickBot="1">
      <c r="B15" s="40">
        <v>3</v>
      </c>
      <c r="C15" s="39" t="s">
        <v>28</v>
      </c>
      <c r="D15" s="39"/>
      <c r="E15" s="41"/>
      <c r="F15" s="39">
        <v>3</v>
      </c>
      <c r="G15" s="39" t="s">
        <v>11</v>
      </c>
      <c r="H15" s="42"/>
      <c r="I15" s="44">
        <f t="shared" si="3"/>
        <v>0</v>
      </c>
      <c r="J15" s="44">
        <f t="shared" si="4"/>
        <v>0</v>
      </c>
      <c r="K15" s="44">
        <f t="shared" si="5"/>
        <v>0</v>
      </c>
      <c r="L15" s="44">
        <f t="shared" si="6"/>
        <v>0</v>
      </c>
      <c r="M15" s="39"/>
      <c r="N15" s="42"/>
      <c r="O15" s="44">
        <f t="shared" si="7"/>
        <v>0</v>
      </c>
      <c r="P15" s="44">
        <f t="shared" si="8"/>
        <v>0</v>
      </c>
      <c r="Q15" s="44">
        <f t="shared" si="9"/>
        <v>0</v>
      </c>
      <c r="R15" s="44">
        <f t="shared" si="10"/>
        <v>0</v>
      </c>
      <c r="S15" s="39"/>
      <c r="T15" s="42"/>
      <c r="U15" s="44">
        <f t="shared" si="0"/>
        <v>0</v>
      </c>
      <c r="V15" s="44">
        <f t="shared" si="1"/>
        <v>0</v>
      </c>
      <c r="W15" s="44">
        <f t="shared" si="11"/>
        <v>0</v>
      </c>
      <c r="X15" s="44">
        <f t="shared" si="12"/>
        <v>0</v>
      </c>
      <c r="Y15" s="38"/>
      <c r="AD15" s="32">
        <f t="shared" si="13"/>
        <v>0</v>
      </c>
      <c r="AE15" s="32">
        <f t="shared" si="14"/>
        <v>0</v>
      </c>
      <c r="AF15" s="32">
        <f t="shared" si="15"/>
        <v>0</v>
      </c>
    </row>
    <row r="16" spans="2:32" ht="24.95" customHeight="1" thickBot="1">
      <c r="B16" s="64" t="s">
        <v>29</v>
      </c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6"/>
      <c r="Y16" s="43">
        <f>SUM(Y13:Y15)</f>
        <v>0</v>
      </c>
      <c r="AD16" s="33"/>
      <c r="AE16" s="33"/>
      <c r="AF16" s="33"/>
    </row>
    <row r="17" ht="12.95"/>
    <row r="18" ht="12.95"/>
    <row r="19" ht="12.6" customHeight="1"/>
  </sheetData>
  <mergeCells count="37">
    <mergeCell ref="B16:X16"/>
    <mergeCell ref="AF11:AF12"/>
    <mergeCell ref="U11:U12"/>
    <mergeCell ref="T11:T12"/>
    <mergeCell ref="B9:B12"/>
    <mergeCell ref="C9:C12"/>
    <mergeCell ref="E9:E12"/>
    <mergeCell ref="F9:F12"/>
    <mergeCell ref="G9:G12"/>
    <mergeCell ref="X11:X12"/>
    <mergeCell ref="Y11:Y12"/>
    <mergeCell ref="T9:Y9"/>
    <mergeCell ref="T10:Y10"/>
    <mergeCell ref="H10:M10"/>
    <mergeCell ref="N11:N12"/>
    <mergeCell ref="O11:O12"/>
    <mergeCell ref="AF9:AF10"/>
    <mergeCell ref="V11:V12"/>
    <mergeCell ref="W11:W12"/>
    <mergeCell ref="L11:L12"/>
    <mergeCell ref="M11:M12"/>
    <mergeCell ref="H9:M9"/>
    <mergeCell ref="R11:R12"/>
    <mergeCell ref="S11:S12"/>
    <mergeCell ref="N9:S9"/>
    <mergeCell ref="N10:S10"/>
    <mergeCell ref="P11:P12"/>
    <mergeCell ref="Q11:Q12"/>
    <mergeCell ref="H11:H12"/>
    <mergeCell ref="I11:I12"/>
    <mergeCell ref="J11:J12"/>
    <mergeCell ref="K11:K12"/>
    <mergeCell ref="D9:D12"/>
    <mergeCell ref="AE11:AE12"/>
    <mergeCell ref="AD11:AD12"/>
    <mergeCell ref="AD9:AD10"/>
    <mergeCell ref="AE9:AE10"/>
  </mergeCells>
  <phoneticPr fontId="9" type="noConversion"/>
  <pageMargins left="0.7" right="0.7" top="0.75" bottom="0.75" header="0.3" footer="0.3"/>
  <pageSetup scale="4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Y17"/>
  <sheetViews>
    <sheetView showGridLines="0" topLeftCell="A3" workbookViewId="0">
      <selection activeCell="E5" sqref="E5"/>
    </sheetView>
  </sheetViews>
  <sheetFormatPr defaultColWidth="9.140625" defaultRowHeight="12.6"/>
  <cols>
    <col min="1" max="1" width="5" style="2" customWidth="1"/>
    <col min="2" max="2" width="14.140625" style="2" customWidth="1"/>
    <col min="3" max="3" width="18.42578125" style="2" bestFit="1" customWidth="1"/>
    <col min="4" max="4" width="14.85546875" style="2" customWidth="1"/>
    <col min="5" max="10" width="15.7109375" style="2" customWidth="1"/>
    <col min="11" max="11" width="9" style="2" customWidth="1"/>
    <col min="12" max="12" width="10.7109375" style="2" customWidth="1"/>
    <col min="13" max="17" width="15.7109375" style="2" customWidth="1"/>
    <col min="18" max="16384" width="9.140625" style="2"/>
  </cols>
  <sheetData>
    <row r="2" spans="2:25" ht="14.45">
      <c r="C2" s="19" t="s">
        <v>30</v>
      </c>
    </row>
    <row r="3" spans="2:25" ht="12.95" thickBot="1">
      <c r="B3" s="3" t="s">
        <v>31</v>
      </c>
    </row>
    <row r="4" spans="2:25" s="3" customFormat="1" ht="26.25" customHeight="1" thickTop="1">
      <c r="B4" s="73">
        <v>1</v>
      </c>
      <c r="C4" s="4" t="s">
        <v>32</v>
      </c>
      <c r="D4" s="5" t="s">
        <v>33</v>
      </c>
      <c r="E4" s="6" t="s">
        <v>34</v>
      </c>
      <c r="F4" s="7" t="s">
        <v>35</v>
      </c>
      <c r="G4" s="4" t="s">
        <v>36</v>
      </c>
      <c r="H4" s="5" t="s">
        <v>37</v>
      </c>
      <c r="I4" s="8" t="s">
        <v>38</v>
      </c>
      <c r="J4" s="9" t="s">
        <v>39</v>
      </c>
      <c r="K4" s="4" t="s">
        <v>40</v>
      </c>
      <c r="L4" s="8" t="s">
        <v>41</v>
      </c>
      <c r="M4" s="10" t="s">
        <v>42</v>
      </c>
    </row>
    <row r="5" spans="2:25" ht="24.75" customHeight="1" thickBot="1">
      <c r="B5" s="73"/>
      <c r="C5" s="12" t="s">
        <v>43</v>
      </c>
      <c r="D5" s="13">
        <v>0</v>
      </c>
      <c r="E5" s="13" t="e">
        <f>#REF!+#REF!+#REF!</f>
        <v>#REF!</v>
      </c>
      <c r="F5" s="14" t="e">
        <f>SUM(D5:E5)</f>
        <v>#REF!</v>
      </c>
      <c r="G5" s="15" t="e">
        <f>#REF!</f>
        <v>#REF!</v>
      </c>
      <c r="H5" s="13" t="e">
        <f>#REF!</f>
        <v>#REF!</v>
      </c>
      <c r="I5" s="16" t="e">
        <f>SUM(G5:H5)</f>
        <v>#REF!</v>
      </c>
      <c r="J5" s="11" t="e">
        <f>SUM((H5*12.68%)+G5,,H5)</f>
        <v>#REF!</v>
      </c>
      <c r="K5" s="17" t="e">
        <f>#REF!</f>
        <v>#REF!</v>
      </c>
      <c r="L5" s="18" t="e">
        <f>#REF!</f>
        <v>#REF!</v>
      </c>
      <c r="M5" s="20" t="e">
        <f>#REF!</f>
        <v>#REF!</v>
      </c>
      <c r="N5" s="1"/>
      <c r="O5" s="1"/>
      <c r="P5" s="1"/>
      <c r="R5" s="1"/>
    </row>
    <row r="6" spans="2:25" ht="12.95" thickTop="1">
      <c r="N6" s="1"/>
      <c r="O6" s="1"/>
      <c r="P6" s="1"/>
      <c r="R6" s="1"/>
    </row>
    <row r="9" spans="2:25">
      <c r="C9" s="21" t="s">
        <v>44</v>
      </c>
    </row>
    <row r="12" spans="2:25">
      <c r="Y12" s="22" t="s">
        <v>43</v>
      </c>
    </row>
    <row r="13" spans="2:25">
      <c r="Y13" s="22" t="s">
        <v>45</v>
      </c>
    </row>
    <row r="14" spans="2:25">
      <c r="Y14" s="22" t="s">
        <v>46</v>
      </c>
    </row>
    <row r="15" spans="2:25">
      <c r="Y15" s="22" t="s">
        <v>47</v>
      </c>
    </row>
    <row r="16" spans="2:25">
      <c r="Y16" s="22" t="s">
        <v>48</v>
      </c>
    </row>
    <row r="17" spans="25:25">
      <c r="Y17" s="22" t="s">
        <v>49</v>
      </c>
    </row>
  </sheetData>
  <mergeCells count="1">
    <mergeCell ref="B4:B5"/>
  </mergeCells>
  <dataValidations count="1">
    <dataValidation type="list" allowBlank="1" showInputMessage="1" showErrorMessage="1" sqref="C5" xr:uid="{00000000-0002-0000-0100-000000000000}">
      <formula1>Y12:Y17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e1605e-f151-47ef-9cd7-0603f6370720">
      <Terms xmlns="http://schemas.microsoft.com/office/infopath/2007/PartnerControls"/>
    </lcf76f155ced4ddcb4097134ff3c332f>
    <TaxCatchAll xmlns="8fc11224-b14a-4c3a-b138-98eb69f1b41c" xsi:nil="true"/>
    <ProjectNumber xmlns="7eac1663-37a1-4c1f-8ec0-82cde26daeca">1</ProjectNumber>
    <File_x0020_Owner xmlns="7eac1663-37a1-4c1f-8ec0-82cde26daeca">
      <UserInfo>
        <DisplayName/>
        <AccountId xsi:nil="true"/>
        <AccountType/>
      </UserInfo>
    </File_x0020_Owner>
    <Folder xmlns="7eac1663-37a1-4c1f-8ec0-82cde26daec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D0EBAD3E242947878C6EF08D0BB20D" ma:contentTypeVersion="23" ma:contentTypeDescription="Create a new document." ma:contentTypeScope="" ma:versionID="ba281c5e055cac555e83f7dc735c722f">
  <xsd:schema xmlns:xsd="http://www.w3.org/2001/XMLSchema" xmlns:xs="http://www.w3.org/2001/XMLSchema" xmlns:p="http://schemas.microsoft.com/office/2006/metadata/properties" xmlns:ns2="7eac1663-37a1-4c1f-8ec0-82cde26daeca" xmlns:ns3="4ce1605e-f151-47ef-9cd7-0603f6370720" xmlns:ns4="8fc11224-b14a-4c3a-b138-98eb69f1b41c" targetNamespace="http://schemas.microsoft.com/office/2006/metadata/properties" ma:root="true" ma:fieldsID="ef5f87eebd45d973bb4d5164398a760a" ns2:_="" ns3:_="" ns4:_="">
    <xsd:import namespace="7eac1663-37a1-4c1f-8ec0-82cde26daeca"/>
    <xsd:import namespace="4ce1605e-f151-47ef-9cd7-0603f6370720"/>
    <xsd:import namespace="8fc11224-b14a-4c3a-b138-98eb69f1b41c"/>
    <xsd:element name="properties">
      <xsd:complexType>
        <xsd:sequence>
          <xsd:element name="documentManagement">
            <xsd:complexType>
              <xsd:all>
                <xsd:element ref="ns2:Folder" minOccurs="0"/>
                <xsd:element ref="ns2:File_x0020_Owner" minOccurs="0"/>
                <xsd:element ref="ns2:ProjectNumber"/>
                <xsd:element ref="ns2:ProjectNumber_x003a_ClientName" minOccurs="0"/>
                <xsd:element ref="ns2:ProjectNumber_x003a_ProjectCategory" minOccurs="0"/>
                <xsd:element ref="ns2:ProjectNumber_x003a_ProjectName" minOccurs="0"/>
                <xsd:element ref="ns2:ProjectNumber_x003a_ResponsibilityCode" minOccurs="0"/>
                <xsd:element ref="ns2:ProjectNumber_x003a_Segment" minOccurs="0"/>
                <xsd:element ref="ns2:ProjectNumber_x003a_ServiceLine" minOccurs="0"/>
                <xsd:element ref="ns2:ProjectNumber_x003a_ProjectManagerName" minOccurs="0"/>
                <xsd:element ref="ns2:ProjectNumber_x003a_ProjectNumber" minOccurs="0"/>
                <xsd:element ref="ns2:ProjectNumber_x003a_PCMRegion" minOccurs="0"/>
                <xsd:element ref="ns2:Project_x0020_ID_x003a_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4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ac1663-37a1-4c1f-8ec0-82cde26daeca" elementFormDefault="qualified">
    <xsd:import namespace="http://schemas.microsoft.com/office/2006/documentManagement/types"/>
    <xsd:import namespace="http://schemas.microsoft.com/office/infopath/2007/PartnerControls"/>
    <xsd:element name="Folder" ma:index="8" nillable="true" ma:displayName="Folder" ma:internalName="Folder">
      <xsd:simpleType>
        <xsd:restriction base="dms:Text">
          <xsd:maxLength value="255"/>
        </xsd:restriction>
      </xsd:simpleType>
    </xsd:element>
    <xsd:element name="File_x0020_Owner" ma:index="9" nillable="true" ma:displayName="File Owner" ma:list="UserInfo" ma:SharePointGroup="0" ma:internalName="File_x0020_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rojectNumber" ma:index="10" ma:displayName="Project ID" ma:default="1" ma:list="d56cc6eb-d051-4723-a84e-d1af6b355242" ma:internalName="ProjectNumber" ma:showField="ProjectNumber">
      <xsd:simpleType>
        <xsd:restriction base="dms:Lookup"/>
      </xsd:simpleType>
    </xsd:element>
    <xsd:element name="ProjectNumber_x003a_ClientName" ma:index="11" nillable="true" ma:displayName="Client Name" ma:list="d56cc6eb-d051-4723-a84e-d1af6b355242" ma:internalName="ProjectNumber_x003a_ClientName" ma:readOnly="true" ma:showField="ClientName" ma:web="8fc11224-b14a-4c3a-b138-98eb69f1b41c">
      <xsd:simpleType>
        <xsd:restriction base="dms:Lookup"/>
      </xsd:simpleType>
    </xsd:element>
    <xsd:element name="ProjectNumber_x003a_ProjectCategory" ma:index="12" nillable="true" ma:displayName="Project Category" ma:list="d56cc6eb-d051-4723-a84e-d1af6b355242" ma:internalName="ProjectNumber_x003a_ProjectCategory" ma:readOnly="true" ma:showField="ProjectCategory" ma:web="8fc11224-b14a-4c3a-b138-98eb69f1b41c">
      <xsd:simpleType>
        <xsd:restriction base="dms:Lookup"/>
      </xsd:simpleType>
    </xsd:element>
    <xsd:element name="ProjectNumber_x003a_ProjectName" ma:index="13" nillable="true" ma:displayName="Project Name" ma:list="d56cc6eb-d051-4723-a84e-d1af6b355242" ma:internalName="ProjectNumber_x003a_ProjectName" ma:readOnly="true" ma:showField="ProjectName" ma:web="8fc11224-b14a-4c3a-b138-98eb69f1b41c">
      <xsd:simpleType>
        <xsd:restriction base="dms:Lookup"/>
      </xsd:simpleType>
    </xsd:element>
    <xsd:element name="ProjectNumber_x003a_ResponsibilityCode" ma:index="14" nillable="true" ma:displayName="Responsibility Code" ma:list="d56cc6eb-d051-4723-a84e-d1af6b355242" ma:internalName="ProjectNumber_x003a_ResponsibilityCode" ma:readOnly="true" ma:showField="ResponsibilityCode" ma:web="8fc11224-b14a-4c3a-b138-98eb69f1b41c">
      <xsd:simpleType>
        <xsd:restriction base="dms:Lookup"/>
      </xsd:simpleType>
    </xsd:element>
    <xsd:element name="ProjectNumber_x003a_Segment" ma:index="15" nillable="true" ma:displayName="Segment" ma:list="d56cc6eb-d051-4723-a84e-d1af6b355242" ma:internalName="ProjectNumber_x003a_Segment" ma:readOnly="true" ma:showField="Segment" ma:web="8fc11224-b14a-4c3a-b138-98eb69f1b41c">
      <xsd:simpleType>
        <xsd:restriction base="dms:Lookup"/>
      </xsd:simpleType>
    </xsd:element>
    <xsd:element name="ProjectNumber_x003a_ServiceLine" ma:index="16" nillable="true" ma:displayName="Service Line" ma:list="d56cc6eb-d051-4723-a84e-d1af6b355242" ma:internalName="ProjectNumber_x003a_ServiceLine" ma:readOnly="true" ma:showField="ServiceLine" ma:web="8fc11224-b14a-4c3a-b138-98eb69f1b41c">
      <xsd:simpleType>
        <xsd:restriction base="dms:Lookup"/>
      </xsd:simpleType>
    </xsd:element>
    <xsd:element name="ProjectNumber_x003a_ProjectManagerName" ma:index="17" nillable="true" ma:displayName="Project Manager" ma:list="d56cc6eb-d051-4723-a84e-d1af6b355242" ma:internalName="ProjectNumber_x003a_ProjectManagerName" ma:readOnly="true" ma:showField="ProjectManagerName" ma:web="8fc11224-b14a-4c3a-b138-98eb69f1b41c">
      <xsd:simpleType>
        <xsd:restriction base="dms:Lookup"/>
      </xsd:simpleType>
    </xsd:element>
    <xsd:element name="ProjectNumber_x003a_ProjectNumber" ma:index="18" nillable="true" ma:displayName="Project ID" ma:description="Display Project_Number" ma:list="d56cc6eb-d051-4723-a84e-d1af6b355242" ma:internalName="ProjectNumber_x003a_ProjectNumber" ma:readOnly="true" ma:showField="ProjectNumber" ma:web="8fc11224-b14a-4c3a-b138-98eb69f1b41c">
      <xsd:simpleType>
        <xsd:restriction base="dms:Lookup"/>
      </xsd:simpleType>
    </xsd:element>
    <xsd:element name="ProjectNumber_x003a_PCMRegion" ma:index="19" nillable="true" ma:displayName="PCM Region" ma:list="d56cc6eb-d051-4723-a84e-d1af6b355242" ma:internalName="ProjectNumber_x003a_PCMRegion" ma:readOnly="true" ma:showField="PCMRegion" ma:web="8fc11224-b14a-4c3a-b138-98eb69f1b41c">
      <xsd:simpleType>
        <xsd:restriction base="dms:Lookup"/>
      </xsd:simpleType>
    </xsd:element>
    <xsd:element name="Project_x0020_ID_x003a_ID" ma:index="20" nillable="true" ma:displayName="Project ID:ID" ma:list="d56cc6eb-d051-4723-a84e-d1af6b355242" ma:internalName="Project_x0020_ID_x003a_ID" ma:readOnly="true" ma:showField="ID" ma:web="8fc11224-b14a-4c3a-b138-98eb69f1b41c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e1605e-f151-47ef-9cd7-0603f63707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8" nillable="true" ma:taxonomy="true" ma:internalName="lcf76f155ced4ddcb4097134ff3c332f" ma:taxonomyFieldName="MediaServiceImageTags" ma:displayName="Image Tags" ma:readOnly="false" ma:fieldId="{5cf76f15-5ced-4ddc-b409-7134ff3c332f}" ma:taxonomyMulti="true" ma:sspId="b57a5ef2-ccd9-450d-814a-721f2f8228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c11224-b14a-4c3a-b138-98eb69f1b41c" elementFormDefault="qualified">
    <xsd:import namespace="http://schemas.microsoft.com/office/2006/documentManagement/types"/>
    <xsd:import namespace="http://schemas.microsoft.com/office/infopath/2007/PartnerControls"/>
    <xsd:element name="TaxCatchAll" ma:index="29" nillable="true" ma:displayName="Taxonomy Catch All Column" ma:hidden="true" ma:list="{d17ac629-29fe-4372-9ce6-e33c4f347bb3}" ma:internalName="TaxCatchAll" ma:showField="CatchAllData" ma:web="8fc11224-b14a-4c3a-b138-98eb69f1b4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31D882-2F8F-499B-B7E5-FF9B330D1B8C}"/>
</file>

<file path=customXml/itemProps2.xml><?xml version="1.0" encoding="utf-8"?>
<ds:datastoreItem xmlns:ds="http://schemas.openxmlformats.org/officeDocument/2006/customXml" ds:itemID="{F3B8B8FD-1F58-4937-A330-642783C782BE}"/>
</file>

<file path=customXml/itemProps3.xml><?xml version="1.0" encoding="utf-8"?>
<ds:datastoreItem xmlns:ds="http://schemas.openxmlformats.org/officeDocument/2006/customXml" ds:itemID="{E5FFD54A-9775-4F2C-8CF0-A2E6DF94AB62}"/>
</file>

<file path=docMetadata/LabelInfo.xml><?xml version="1.0" encoding="utf-8"?>
<clbl:labelList xmlns:clbl="http://schemas.microsoft.com/office/2020/mipLabelMetadata">
  <clbl:label id="{97525e9a-595d-472c-8248-0dc58f852d61}" enabled="0" method="" siteId="{97525e9a-595d-472c-8248-0dc58f852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Oceaneering International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OI</dc:creator>
  <cp:keywords/>
  <dc:description/>
  <cp:lastModifiedBy>Gabriel Andrade</cp:lastModifiedBy>
  <cp:revision/>
  <dcterms:created xsi:type="dcterms:W3CDTF">2001-03-15T17:16:30Z</dcterms:created>
  <dcterms:modified xsi:type="dcterms:W3CDTF">2026-09-04T18:01:43Z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0x010100BCD0EBAD3E242947878C6EF08D0BB20D</vt:lpwstr>
  </property>
  <property fmtid="{D5CDD505-2E9C-101B-9397-08002B2CF9AE}" pid="3" name="MediaServiceImageTags">
    <vt:lpwstr/>
  </property>
</Properties>
</file>