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rcosta1\Downloads\"/>
    </mc:Choice>
  </mc:AlternateContent>
  <xr:revisionPtr revIDLastSave="0" documentId="13_ncr:1_{631EE426-CEC2-4F9F-8E8D-E1AB032D6EBF}" xr6:coauthVersionLast="47" xr6:coauthVersionMax="47" xr10:uidLastSave="{00000000-0000-0000-0000-000000000000}"/>
  <bookViews>
    <workbookView xWindow="-120" yWindow="-120" windowWidth="29040" windowHeight="15720" tabRatio="880" xr2:uid="{00000000-000D-0000-FFFF-FFFF00000000}"/>
  </bookViews>
  <sheets>
    <sheet name="Orçamento de Fabricação" sheetId="29" r:id="rId1"/>
  </sheets>
  <definedNames>
    <definedName name="_xlnm._FilterDatabase" localSheetId="0" hidden="1">'Orçamento de Fabricação'!$A$47:$AN$75</definedName>
    <definedName name="Nº_Func.">#REF!</definedName>
    <definedName name="Responsavel">#REF!</definedName>
    <definedName name="Serviços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24" i="29" l="1"/>
  <c r="AN61" i="29"/>
  <c r="AN58" i="29"/>
  <c r="AF72" i="29"/>
  <c r="AF76" i="29" s="1"/>
  <c r="AF64" i="29" l="1"/>
  <c r="Q75" i="29" s="1"/>
  <c r="AF75" i="29" s="1"/>
  <c r="AF49" i="29"/>
  <c r="AF50" i="29"/>
  <c r="AF51" i="29"/>
  <c r="AF52" i="29"/>
  <c r="AF53" i="29"/>
  <c r="AF54" i="29"/>
  <c r="AF48" i="29"/>
  <c r="AF10" i="29"/>
  <c r="AF11" i="29"/>
  <c r="AF12" i="29"/>
  <c r="AF13" i="29"/>
  <c r="AF14" i="29"/>
  <c r="AF15" i="29"/>
  <c r="AF16" i="29"/>
  <c r="AF17" i="29"/>
  <c r="AF18" i="29"/>
  <c r="AF19" i="29"/>
  <c r="AF20" i="29"/>
  <c r="AF21" i="29"/>
  <c r="AF22" i="29"/>
  <c r="AF23" i="29"/>
  <c r="AF25" i="29"/>
  <c r="AF26" i="29"/>
  <c r="AF27" i="29"/>
  <c r="AF28" i="29"/>
  <c r="AF29" i="29"/>
  <c r="AF30" i="29"/>
  <c r="AF31" i="29"/>
  <c r="AF32" i="29"/>
  <c r="AF33" i="29"/>
  <c r="AF34" i="29"/>
  <c r="AF35" i="29"/>
  <c r="AF36" i="29"/>
  <c r="AF37" i="29"/>
  <c r="AF38" i="29"/>
  <c r="AF39" i="29"/>
  <c r="AF40" i="29"/>
  <c r="AF41" i="29"/>
  <c r="AF42" i="29"/>
  <c r="AF43" i="29"/>
  <c r="AF44" i="29"/>
  <c r="AF9" i="29"/>
  <c r="AF55" i="29" l="1"/>
  <c r="AF45" i="29"/>
  <c r="Q74" i="29" l="1"/>
  <c r="AF74" i="29" s="1"/>
  <c r="AF77" i="29" s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<sst xmlns="http://schemas.openxmlformats.org/spreadsheetml/2006/main" count="150" uniqueCount="101">
  <si>
    <t>RELATÓRIO DE ORÇAMENTO DE FABRICAÇÃO</t>
  </si>
  <si>
    <t>Cliente:</t>
  </si>
  <si>
    <t>Petrobras</t>
  </si>
  <si>
    <t>Contrato</t>
  </si>
  <si>
    <t>OS:</t>
  </si>
  <si>
    <t>Projeto:</t>
  </si>
  <si>
    <t xml:space="preserve">Desenho: </t>
  </si>
  <si>
    <t>N° do orçamento</t>
  </si>
  <si>
    <t>Data Envio:</t>
  </si>
  <si>
    <t>Assinatura Contratada:</t>
  </si>
  <si>
    <t>Assinatura Petrobras:</t>
  </si>
  <si>
    <t xml:space="preserve">MATÉRIA PRIMA UTILIZADA NA FABRICAÇÃO SOB DEMANDA - TABELA 2 </t>
  </si>
  <si>
    <t>Categoria</t>
  </si>
  <si>
    <t>Descrição</t>
  </si>
  <si>
    <t>UN</t>
  </si>
  <si>
    <t>QTD.</t>
  </si>
  <si>
    <t>Peso</t>
  </si>
  <si>
    <t xml:space="preserve">Peso Total </t>
  </si>
  <si>
    <t>AÇO
CARBONO</t>
  </si>
  <si>
    <t>BARRA QUADRADA - SAE 1045</t>
  </si>
  <si>
    <t>KG</t>
  </si>
  <si>
    <t>BARRA REDONDA - ASTM A48</t>
  </si>
  <si>
    <t>BARRA REDONDA - ASTM A536</t>
  </si>
  <si>
    <t>BARRA REDONDA - SAE 1020</t>
  </si>
  <si>
    <t>BARRA REDONDA - SAE 1045</t>
  </si>
  <si>
    <t>BARRA REDONDA - SAE 4140</t>
  </si>
  <si>
    <t>BARRA REDONDA - SAE 4340</t>
  </si>
  <si>
    <t>BARRA SEXTAVADA - SAE 1045</t>
  </si>
  <si>
    <t>CHAPA AÇO CARBONO - ASTM A36</t>
  </si>
  <si>
    <t>CHAPA AÇO CARBONO - SAE 516</t>
  </si>
  <si>
    <t>CHAPA AÇO CARBONO - A283</t>
  </si>
  <si>
    <t>TUBO DE AÇO API 5L Gr B</t>
  </si>
  <si>
    <t>PERFIL - AÇO CARBONO A36</t>
  </si>
  <si>
    <t>AÇO INOX</t>
  </si>
  <si>
    <t>BARRA REDONDA - INOX AISI 304</t>
  </si>
  <si>
    <t>BARRA REDONDA - INOX AISI 316</t>
  </si>
  <si>
    <t>BARRA REDONDA - INOX AISI 316 L</t>
  </si>
  <si>
    <t>BARRA REDONDA - INOX AISI 410</t>
  </si>
  <si>
    <t>BARRA SEXTAVADA - INOX AISI 316</t>
  </si>
  <si>
    <t>CHAPA AÇO INOX - AISI 316</t>
  </si>
  <si>
    <t>CHAPA AÇO INOX - AISI 316 L</t>
  </si>
  <si>
    <t>CHAPA AÇO INOX - AISI 304</t>
  </si>
  <si>
    <t>PERFIL - AÇO INOX AISI 316</t>
  </si>
  <si>
    <t>COBRE</t>
  </si>
  <si>
    <t>BARRA REDONDA - BRONZE TM 23</t>
  </si>
  <si>
    <t>BARRA REDONDA - LATÃO C-360</t>
  </si>
  <si>
    <t>ALUMÍNIO</t>
  </si>
  <si>
    <t>BARRA REDONDA - ALUMINIO 6351</t>
  </si>
  <si>
    <t>CHAPA ALUMÍNIO - 6351</t>
  </si>
  <si>
    <t>CHAPA ALUMÍNIO - 6061 T6</t>
  </si>
  <si>
    <t>CHAPA ALUMINIO - 5052</t>
  </si>
  <si>
    <t>PERFIL - ALUMINIO 6063</t>
  </si>
  <si>
    <t>PERFIL - ALUMINIO 6351</t>
  </si>
  <si>
    <t>PERFIL - ALUMÍNIO 6061 T6</t>
  </si>
  <si>
    <t>POLÍMEROS</t>
  </si>
  <si>
    <t>BARRA REDONDA - ACRÍLICO</t>
  </si>
  <si>
    <t>BARRA REDONDA - POLIURETANO</t>
  </si>
  <si>
    <t>BARRA REDONDA - BORRACHA SBR 70</t>
  </si>
  <si>
    <t>BARRA REDONDA - TEFLON PTFE</t>
  </si>
  <si>
    <t>BARRA REDONDA - NYLON</t>
  </si>
  <si>
    <t>TOTAL</t>
  </si>
  <si>
    <t xml:space="preserve">USINAGEM E CALDEIRARIA UTILIZADOS NA FABRICAÇÃO SOB DEMANDA  - TABELA 2 </t>
  </si>
  <si>
    <t>Serviço</t>
  </si>
  <si>
    <t>Complexidade</t>
  </si>
  <si>
    <t>Quantidade (HH)</t>
  </si>
  <si>
    <t>Usinagem</t>
  </si>
  <si>
    <t>Baixa</t>
  </si>
  <si>
    <t>Média</t>
  </si>
  <si>
    <t>Alta</t>
  </si>
  <si>
    <t>Caldeiraria</t>
  </si>
  <si>
    <t>Pintura</t>
  </si>
  <si>
    <t>INSPEÇÃO LPP/PM e CERTIFICAÇÕES</t>
  </si>
  <si>
    <t xml:space="preserve">SERVIÇO DE APLICAÇÃO DE REVESTIMENTOS METÁLICOS </t>
  </si>
  <si>
    <t>Engenharia de Fabricação</t>
  </si>
  <si>
    <t>SERVIÇOS DE APLICAÇÃO DE REVESTIMENTO NÃO METÁLICOS</t>
  </si>
  <si>
    <t>Serviços adicionais - Tabela 1</t>
  </si>
  <si>
    <t>Serviços</t>
  </si>
  <si>
    <t>Critério</t>
  </si>
  <si>
    <t>QTD</t>
  </si>
  <si>
    <t>Peso Total</t>
  </si>
  <si>
    <t>SERVIÇOS DE INSPEÇÃO LP/PM E CERTIFICAÇÕES</t>
  </si>
  <si>
    <t>HH</t>
  </si>
  <si>
    <t>SERVIÇOS DE APLICAÇÃO DE REVESTIMENTOS METÁLICOS</t>
  </si>
  <si>
    <t>SERVIÇOS DE APLICAÇÃO DE REVESTIMENTOS NÃO-METÁLICOS</t>
  </si>
  <si>
    <t>SERVIÇOS DE PINTURA</t>
  </si>
  <si>
    <t>M2</t>
  </si>
  <si>
    <t>SERVIÇOS DE MAGNETIZAÇÃO DE PEÇAS</t>
  </si>
  <si>
    <t>Aquisição de Partes e Peças Utilizados na Fabricação Sob Demanda - Tabela 3</t>
  </si>
  <si>
    <t>Valor</t>
  </si>
  <si>
    <t>Obs</t>
  </si>
  <si>
    <t>Valor Final</t>
  </si>
  <si>
    <t>PESO TOTAL</t>
  </si>
  <si>
    <t xml:space="preserve">VALOR </t>
  </si>
  <si>
    <t>TABELA 2</t>
  </si>
  <si>
    <t xml:space="preserve">TABELA 1 </t>
  </si>
  <si>
    <t>TABELA 3</t>
  </si>
  <si>
    <t>ENTREGA</t>
  </si>
  <si>
    <t>45 dias corridos</t>
  </si>
  <si>
    <t>OBSERVAÇÕES</t>
  </si>
  <si>
    <t>O prazo de entrega está sujeito a alterações, podendo variar de acordo com a fila de prioridades e com a análise de carga versus capacidade produtiva.</t>
  </si>
  <si>
    <t>Prazo  de entrega atrelada  a data de aprovação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</si>
</sst>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5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&quot;R$&quot;\ * #,##0.00_-;\-&quot;R$&quot;\ * #,##0.00_-;_-&quot;R$&quot;\ * &quot;-&quot;??_-;_-@_-"/>
    <numFmt numFmtId="166" formatCode="_-* #,##0.00_-;\-* #,##0.00_-;_-* &quot;-&quot;??_-;_-@_-"/>
    <numFmt numFmtId="167" formatCode="&quot;$&quot;\ #,##0_);&quot;$&quot;\ \(#,##0\);&quot;$&quot;\ \ \ \-\ \ "/>
    <numFmt numFmtId="168" formatCode="&quot;$&quot;\ ##,##0.0_);&quot;$&quot;\ \(#,##0.0\);&quot;$&quot;\ \ \ \-\ \ "/>
    <numFmt numFmtId="169" formatCode="&quot;$&quot;\ ##,##0.00_);&quot;$&quot;\ \(#,##0.00\);&quot;$&quot;\ \ \ \-\ \ "/>
    <numFmt numFmtId="170" formatCode="&quot;$&quot;\ ##,##0\ ??/??;&quot;$&quot;\ \-#,##0\ ??/??;&quot;$&quot;\ \ \ \-\ \ "/>
    <numFmt numFmtId="171" formatCode="0.0_)\%;\(0.0\)\%;0.0_)\%;@_)_%"/>
    <numFmt numFmtId="172" formatCode="#,##0.0_)_%;\(#,##0.0\)_%;0.0_)_%;@_)_%"/>
    <numFmt numFmtId="173" formatCode="#,##0.0_);\(#,##0.0\);#,##0.0_);@_)"/>
    <numFmt numFmtId="174" formatCode="&quot;$&quot;_(#,##0.00_);&quot;$&quot;\(#,##0.00\);&quot;$&quot;_(0.00_);@_)"/>
    <numFmt numFmtId="175" formatCode="#,##0.00_);\(#,##0.00\);0.00_);@_)"/>
    <numFmt numFmtId="176" formatCode="\€_(#,##0.00_);\€\(#,##0.00\);\€_(0.00_);@_)"/>
    <numFmt numFmtId="177" formatCode="#,##0_)\x;\(#,##0\)\x;0_)\x;@_)_x"/>
    <numFmt numFmtId="178" formatCode="#,##0_)_x;\(#,##0\)_x;0_)_x;@_)_x"/>
    <numFmt numFmtId="179" formatCode="0.0"/>
    <numFmt numFmtId="180" formatCode="#,##0_);\(#,##0\);\-\ \ "/>
    <numFmt numFmtId="181" formatCode="##,##0.0_);\(#,##0.0\);\-\ \ "/>
    <numFmt numFmtId="182" formatCode="##,##0.00_);\(#,##0.00\);\-\ \ "/>
    <numFmt numFmtId="183" formatCode="_(* #,##0.0_);_(* \(#,##0.0\);_(* &quot;-&quot;??_);_(@_)"/>
    <numFmt numFmtId="184" formatCode="m\-d\-yy"/>
    <numFmt numFmtId="185" formatCode="#_###0_)&quot;    &quot;;\(#_###0\)&quot;    &quot;;\-&quot;    &quot;"/>
    <numFmt numFmtId="186" formatCode="_(* #,##0.0_);_(* \(#,##0.00\);_(* &quot;-&quot;??_);_(@_)"/>
    <numFmt numFmtId="187" formatCode="General_)"/>
    <numFmt numFmtId="188" formatCode="0.000"/>
    <numFmt numFmtId="189" formatCode="&quot;fl&quot;#,##0_);\(&quot;fl&quot;#,##0\)"/>
    <numFmt numFmtId="190" formatCode="&quot;fl&quot;#,##0_);[Red]\(&quot;fl&quot;#,##0\)"/>
    <numFmt numFmtId="191" formatCode="&quot;fl&quot;#,##0.00_);\(&quot;fl&quot;#,##0.00\)"/>
    <numFmt numFmtId="192" formatCode="0.000_)"/>
    <numFmt numFmtId="193" formatCode="&quot;$&quot;#,##0\ ;\(&quot;$&quot;#,##0\)"/>
    <numFmt numFmtId="194" formatCode="0.0000\ %"/>
    <numFmt numFmtId="195" formatCode="mmmm"/>
    <numFmt numFmtId="196" formatCode="_-[$€-2]\ * #,##0.00_-;\-[$€-2]\ * #,##0.00_-;_-[$€-2]\ * &quot;-&quot;??_-"/>
    <numFmt numFmtId="197" formatCode="##,##0\ ??/??;\-#,##0\ ??/??;\-\ \ "/>
    <numFmt numFmtId="198" formatCode="#,##0.00&quot; $&quot;;\-#,##0.00&quot; $&quot;"/>
    <numFmt numFmtId="199" formatCode="#,##0.0_);\(#,##0.0\)"/>
    <numFmt numFmtId="200" formatCode="&quot;$&quot;#,##0_);&quot;$&quot;\ \(#,##0\);\ &quot;$&quot;\ \ \ \-\ \ \ "/>
    <numFmt numFmtId="201" formatCode="#,##0_);\(#,##0\);\ \ \-\ \ \ "/>
    <numFmt numFmtId="202" formatCode="_-* #,##0.00\ _p_t_a_-;\-* #,##0.00\ _p_t_a_-;_-* &quot;-&quot;??\ _p_t_a_-;_-@_-"/>
    <numFmt numFmtId="203" formatCode="_-* #,##0\ _F_-;\-* #,##0\ _F_-;_-* &quot;-&quot;\ _F_-;_-@_-"/>
    <numFmt numFmtId="204" formatCode="_-* #,##0.00\ _F_-;\-* #,##0.00\ _F_-;_-* &quot;-&quot;??\ _F_-;_-@_-"/>
    <numFmt numFmtId="205" formatCode="_-* #,##0\ &quot;F&quot;_-;\-* #,##0\ &quot;F&quot;_-;_-* &quot;-&quot;\ &quot;F&quot;_-;_-@_-"/>
    <numFmt numFmtId="206" formatCode="_-* #,##0.00\ &quot;F&quot;_-;\-* #,##0.00\ &quot;F&quot;_-;_-* &quot;-&quot;??\ &quot;F&quot;_-;_-@_-"/>
    <numFmt numFmtId="207" formatCode="#,##0.0;\(#,##0.0\)"/>
    <numFmt numFmtId="208" formatCode="#,##0.000;\(#,##0.000\)"/>
    <numFmt numFmtId="209" formatCode="#,##0.0\x;\(#,##0.0\)\x"/>
    <numFmt numFmtId="210" formatCode="\60\4\7\:"/>
    <numFmt numFmtId="211" formatCode="mm/dd/yy"/>
    <numFmt numFmtId="212" formatCode="#,##0.0,,_);\(#,##0.0,,\);&quot;-  &quot;"/>
    <numFmt numFmtId="213" formatCode="#,##0.0"/>
    <numFmt numFmtId="214" formatCode="_(&quot;$&quot;* #,##0.00_);_(&quot;$&quot;* \(#,##0.00\);_(* &quot;-&quot;_);_(@_)"/>
    <numFmt numFmtId="215" formatCode="_(* #,##0.00_);_(* \(#,##0.00\);_(* &quot;-&quot;_);_(@_)"/>
    <numFmt numFmtId="216" formatCode="#,##0.0\x"/>
    <numFmt numFmtId="217" formatCode="&quot;$&quot;#,##0.00"/>
    <numFmt numFmtId="218" formatCode="#,##0.00\x"/>
    <numFmt numFmtId="219" formatCode="_(&quot;$&quot;* #,##0.0_);_(&quot;$&quot;* \(#,##0.0\);_(* &quot;-&quot;_);_(@_)"/>
    <numFmt numFmtId="220" formatCode="#,##0.000"/>
    <numFmt numFmtId="221" formatCode="mm/dd/yyyy"/>
    <numFmt numFmtId="222" formatCode="_(* #,##0.0_);_(* \(#,##0.0\);_(* &quot;-&quot;_);_(@_)"/>
    <numFmt numFmtId="223" formatCode="0.0\x"/>
    <numFmt numFmtId="224" formatCode="m/d/yy"/>
    <numFmt numFmtId="225" formatCode="&quot;fl&quot;#,##0.00_);[Red]\(&quot;fl&quot;#,##0.00\)"/>
    <numFmt numFmtId="226" formatCode="_(&quot;fl&quot;* #,##0_);_(&quot;fl&quot;* \(#,##0\);_(&quot;fl&quot;* &quot;-&quot;_);_(@_)"/>
    <numFmt numFmtId="227" formatCode="_-&quot;L.&quot;\ * #,##0_-;\-&quot;L.&quot;\ * #,##0_-;_-&quot;L.&quot;\ * &quot;-&quot;_-;_-@_-"/>
    <numFmt numFmtId="228" formatCode="&quot;L.&quot;\ #,##0;[Red]\-&quot;L.&quot;\ #,##0"/>
    <numFmt numFmtId="229" formatCode="&quot;\&quot;#,##0;[Red]&quot;\&quot;\-#,##0"/>
    <numFmt numFmtId="230" formatCode="h:mm;@"/>
    <numFmt numFmtId="231" formatCode="0.000000"/>
    <numFmt numFmtId="232" formatCode="_-[$R$-416]\ * #,##0.00_-;\-[$R$-416]\ * #,##0.00_-;_-[$R$-416]\ * &quot;-&quot;??_-;_-@_-"/>
  </numFmts>
  <fonts count="122">
    <font>
      <sz val="10"/>
      <name val="Arial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9"/>
      <name val="Arial"/>
      <family val="2"/>
    </font>
    <font>
      <sz val="8"/>
      <name val="Arial"/>
      <family val="2"/>
    </font>
    <font>
      <sz val="9"/>
      <name val="Arial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17"/>
      <name val="Calibri"/>
      <family val="2"/>
    </font>
    <font>
      <sz val="11"/>
      <color indexed="20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sz val="11"/>
      <color indexed="9"/>
      <name val="Calibri"/>
      <family val="2"/>
    </font>
    <font>
      <sz val="11"/>
      <color indexed="8"/>
      <name val="Calibri"/>
      <family val="2"/>
    </font>
    <font>
      <sz val="10"/>
      <name val="Tms Rmn"/>
    </font>
    <font>
      <sz val="12"/>
      <name val="Times New Roman"/>
      <family val="1"/>
    </font>
    <font>
      <sz val="10"/>
      <name val="Arial"/>
      <family val="2"/>
    </font>
    <font>
      <sz val="10"/>
      <color indexed="8"/>
      <name val="MS Sans Serif"/>
      <family val="2"/>
    </font>
    <font>
      <sz val="10"/>
      <name val="Helv"/>
      <family val="2"/>
    </font>
    <font>
      <b/>
      <sz val="22"/>
      <color indexed="18"/>
      <name val="Arial"/>
      <family val="2"/>
    </font>
    <font>
      <b/>
      <sz val="14"/>
      <color indexed="18"/>
      <name val="Arial"/>
      <family val="2"/>
    </font>
    <font>
      <sz val="9"/>
      <color indexed="8"/>
      <name val="Arial"/>
      <family val="2"/>
    </font>
    <font>
      <b/>
      <sz val="10"/>
      <color indexed="18"/>
      <name val="Arial"/>
      <family val="2"/>
    </font>
    <font>
      <b/>
      <u val="singleAccounting"/>
      <sz val="10"/>
      <color indexed="18"/>
      <name val="Arial"/>
      <family val="2"/>
    </font>
    <font>
      <sz val="10"/>
      <name val="MS Sans Serif"/>
      <family val="2"/>
    </font>
    <font>
      <sz val="9"/>
      <name val="Times New Roman"/>
      <family val="1"/>
    </font>
    <font>
      <b/>
      <sz val="8"/>
      <name val="Arial"/>
      <family val="2"/>
    </font>
    <font>
      <b/>
      <sz val="11"/>
      <name val="Arial"/>
      <family val="2"/>
    </font>
    <font>
      <sz val="10"/>
      <color indexed="10"/>
      <name val="Arial"/>
      <family val="2"/>
    </font>
    <font>
      <sz val="8"/>
      <name val="Times New Roman"/>
      <family val="1"/>
    </font>
    <font>
      <b/>
      <sz val="10"/>
      <color indexed="62"/>
      <name val="GE Inspira"/>
      <family val="2"/>
    </font>
    <font>
      <sz val="12"/>
      <name val="Tms Rmn"/>
    </font>
    <font>
      <sz val="11"/>
      <name val="Arial Narrow"/>
      <family val="2"/>
    </font>
    <font>
      <b/>
      <sz val="14"/>
      <color indexed="8"/>
      <name val="Times New Roman"/>
      <family val="1"/>
    </font>
    <font>
      <b/>
      <u/>
      <sz val="10"/>
      <name val="Arial"/>
      <family val="2"/>
    </font>
    <font>
      <b/>
      <sz val="14"/>
      <name val="Symbol"/>
      <family val="1"/>
      <charset val="2"/>
    </font>
    <font>
      <b/>
      <sz val="12"/>
      <name val="Arial"/>
      <family val="2"/>
    </font>
    <font>
      <b/>
      <u val="singleAccounting"/>
      <sz val="8"/>
      <name val="Arial"/>
      <family val="2"/>
    </font>
    <font>
      <sz val="11"/>
      <name val="Tms Rmn"/>
      <family val="1"/>
    </font>
    <font>
      <sz val="10"/>
      <name val="GE Inspira"/>
      <family val="2"/>
    </font>
    <font>
      <sz val="10"/>
      <color indexed="8"/>
      <name val="GE Inspira"/>
      <family val="2"/>
    </font>
    <font>
      <sz val="12"/>
      <name val="Arial"/>
      <family val="2"/>
    </font>
    <font>
      <sz val="10"/>
      <name val="Helv"/>
    </font>
    <font>
      <sz val="10"/>
      <color indexed="8"/>
      <name val="Times New Roman"/>
      <family val="1"/>
    </font>
    <font>
      <sz val="10"/>
      <name val="MS Serif"/>
      <family val="1"/>
    </font>
    <font>
      <sz val="10"/>
      <name val="Courier"/>
      <family val="3"/>
    </font>
    <font>
      <sz val="10"/>
      <color indexed="8"/>
      <name val="Arial"/>
      <family val="2"/>
    </font>
    <font>
      <sz val="11"/>
      <name val="Arial"/>
      <family val="2"/>
    </font>
    <font>
      <sz val="10"/>
      <name val="Courier New"/>
      <family val="3"/>
    </font>
    <font>
      <b/>
      <sz val="8"/>
      <name val="Arial Narrow"/>
      <family val="2"/>
    </font>
    <font>
      <sz val="10"/>
      <color indexed="16"/>
      <name val="MS Serif"/>
      <family val="1"/>
    </font>
    <font>
      <sz val="1"/>
      <color indexed="8"/>
      <name val="Courier"/>
      <family val="3"/>
    </font>
    <font>
      <i/>
      <sz val="1"/>
      <color indexed="8"/>
      <name val="Courier"/>
      <family val="3"/>
    </font>
    <font>
      <sz val="9"/>
      <name val="Arial Narrow"/>
      <family val="2"/>
    </font>
    <font>
      <sz val="8"/>
      <name val="Arial"/>
      <family val="2"/>
    </font>
    <font>
      <b/>
      <u/>
      <sz val="11"/>
      <color indexed="37"/>
      <name val="Arial"/>
      <family val="2"/>
    </font>
    <font>
      <b/>
      <sz val="10"/>
      <color indexed="8"/>
      <name val="Arial"/>
      <family val="2"/>
    </font>
    <font>
      <sz val="10"/>
      <color indexed="12"/>
      <name val="Arial"/>
      <family val="2"/>
    </font>
    <font>
      <u/>
      <sz val="10"/>
      <color indexed="12"/>
      <name val="Arial"/>
      <family val="2"/>
    </font>
    <font>
      <u/>
      <sz val="7.5"/>
      <color indexed="36"/>
      <name val="Arial"/>
      <family val="2"/>
    </font>
    <font>
      <u/>
      <sz val="9"/>
      <color indexed="12"/>
      <name val="Arial"/>
      <family val="2"/>
    </font>
    <font>
      <sz val="12"/>
      <name val="Helv"/>
    </font>
    <font>
      <i/>
      <sz val="10"/>
      <name val="Arial"/>
      <family val="2"/>
    </font>
    <font>
      <sz val="12"/>
      <color indexed="9"/>
      <name val="Helv"/>
    </font>
    <font>
      <sz val="10"/>
      <color indexed="12"/>
      <name val="Tms Rmn"/>
    </font>
    <font>
      <sz val="7"/>
      <name val="Small Fonts"/>
      <family val="2"/>
    </font>
    <font>
      <b/>
      <sz val="16"/>
      <name val="Arial"/>
      <family val="2"/>
    </font>
    <font>
      <b/>
      <sz val="14"/>
      <name val="Arial"/>
      <family val="2"/>
    </font>
    <font>
      <b/>
      <sz val="18"/>
      <name val="Arial"/>
      <family val="2"/>
    </font>
    <font>
      <sz val="11"/>
      <color indexed="8"/>
      <name val="Times New Roman"/>
      <family val="1"/>
    </font>
    <font>
      <b/>
      <i/>
      <sz val="10"/>
      <color indexed="8"/>
      <name val="Arial"/>
      <family val="2"/>
    </font>
    <font>
      <b/>
      <i/>
      <sz val="22"/>
      <color indexed="8"/>
      <name val="Times New Roman"/>
      <family val="1"/>
    </font>
    <font>
      <b/>
      <sz val="10"/>
      <color indexed="8"/>
      <name val="Times New Roman"/>
      <family val="1"/>
    </font>
    <font>
      <sz val="22"/>
      <name val="UBSHeadline"/>
      <family val="1"/>
    </font>
    <font>
      <b/>
      <sz val="10"/>
      <name val="Arial CE"/>
      <family val="2"/>
      <charset val="238"/>
    </font>
    <font>
      <sz val="8"/>
      <color indexed="9"/>
      <name val="Arial"/>
      <family val="2"/>
    </font>
    <font>
      <sz val="8"/>
      <name val="Helv"/>
    </font>
    <font>
      <b/>
      <sz val="15"/>
      <name val="Arial"/>
      <family val="2"/>
    </font>
    <font>
      <u/>
      <sz val="9"/>
      <color indexed="36"/>
      <name val="Arial"/>
      <family val="2"/>
    </font>
    <font>
      <b/>
      <sz val="10"/>
      <color indexed="10"/>
      <name val="Arial"/>
      <family val="2"/>
    </font>
    <font>
      <b/>
      <sz val="10"/>
      <color indexed="12"/>
      <name val="Arial"/>
      <family val="2"/>
    </font>
    <font>
      <sz val="8"/>
      <color indexed="39"/>
      <name val="Arial"/>
      <family val="2"/>
    </font>
    <font>
      <u/>
      <sz val="8"/>
      <name val="Arial"/>
      <family val="2"/>
    </font>
    <font>
      <i/>
      <sz val="8"/>
      <name val="Arial"/>
      <family val="2"/>
    </font>
    <font>
      <b/>
      <sz val="8"/>
      <color indexed="9"/>
      <name val="Arial"/>
      <family val="2"/>
    </font>
    <font>
      <b/>
      <sz val="8"/>
      <color indexed="8"/>
      <name val="Arial"/>
      <family val="2"/>
    </font>
    <font>
      <sz val="7"/>
      <name val="Arial"/>
      <family val="2"/>
    </font>
    <font>
      <b/>
      <sz val="8"/>
      <color indexed="8"/>
      <name val="Helv"/>
    </font>
    <font>
      <sz val="8"/>
      <color indexed="12"/>
      <name val="Arial"/>
      <family val="2"/>
    </font>
    <font>
      <sz val="11"/>
      <name val="돋움"/>
      <charset val="129"/>
    </font>
    <font>
      <sz val="10"/>
      <name val="ｺﾞｼｯｸ"/>
      <family val="3"/>
      <charset val="128"/>
    </font>
    <font>
      <sz val="11"/>
      <name val="ＭＳ Ｐゴシック"/>
      <charset val="128"/>
    </font>
    <font>
      <sz val="11"/>
      <name val="ＭＳ ゴシック"/>
      <family val="3"/>
      <charset val="128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A7D00"/>
      <name val="Calibri"/>
      <family val="2"/>
      <scheme val="minor"/>
    </font>
    <font>
      <sz val="10"/>
      <color theme="1"/>
      <name val="GE Inspira"/>
      <family val="2"/>
    </font>
    <font>
      <sz val="11"/>
      <color rgb="FF3F3F76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GE Inspira"/>
      <family val="2"/>
    </font>
    <font>
      <b/>
      <sz val="9"/>
      <color theme="0"/>
      <name val="Arial"/>
      <family val="2"/>
    </font>
    <font>
      <sz val="10"/>
      <color theme="0"/>
      <name val="Arial"/>
      <family val="2"/>
    </font>
    <font>
      <sz val="10"/>
      <name val="Arial"/>
      <family val="2"/>
    </font>
    <font>
      <b/>
      <sz val="11"/>
      <name val="GE Inspira"/>
      <family val="2"/>
    </font>
    <font>
      <sz val="9"/>
      <name val="GE Inspira"/>
      <family val="2"/>
    </font>
  </fonts>
  <fills count="68">
    <fill>
      <patternFill patternType="none"/>
    </fill>
    <fill>
      <patternFill patternType="gray125"/>
    </fill>
    <fill>
      <patternFill patternType="solid">
        <fgColor indexed="43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4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</patternFill>
    </fill>
    <fill>
      <patternFill patternType="solid">
        <fgColor indexed="12"/>
      </patternFill>
    </fill>
    <fill>
      <patternFill patternType="solid">
        <fgColor indexed="26"/>
      </patternFill>
    </fill>
    <fill>
      <patternFill patternType="gray0625"/>
    </fill>
    <fill>
      <patternFill patternType="solid">
        <fgColor indexed="65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6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73">
    <border>
      <left/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/>
      <right/>
      <top/>
      <bottom style="medium">
        <color indexed="18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/>
      <top/>
      <bottom style="hair">
        <color indexed="64"/>
      </bottom>
      <diagonal/>
    </border>
    <border>
      <left style="thin">
        <color indexed="62"/>
      </left>
      <right style="thin">
        <color indexed="62"/>
      </right>
      <top style="thin">
        <color indexed="62"/>
      </top>
      <bottom style="thin">
        <color indexed="62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/>
      <bottom/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/>
      <top/>
      <bottom style="thick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019">
    <xf numFmtId="0" fontId="0" fillId="0" borderId="0"/>
    <xf numFmtId="167" fontId="20" fillId="0" borderId="0">
      <alignment horizontal="right"/>
      <protection locked="0"/>
    </xf>
    <xf numFmtId="168" fontId="20" fillId="0" borderId="0">
      <alignment horizontal="right"/>
      <protection locked="0"/>
    </xf>
    <xf numFmtId="169" fontId="20" fillId="0" borderId="0">
      <alignment horizontal="right"/>
      <protection locked="0"/>
    </xf>
    <xf numFmtId="170" fontId="20" fillId="0" borderId="0">
      <alignment horizontal="right"/>
      <protection locked="0"/>
    </xf>
    <xf numFmtId="0" fontId="21" fillId="0" borderId="0"/>
    <xf numFmtId="171" fontId="22" fillId="0" borderId="0" applyFont="0" applyFill="0" applyBorder="0" applyAlignment="0" applyProtection="0"/>
    <xf numFmtId="171" fontId="22" fillId="0" borderId="0" applyFont="0" applyFill="0" applyBorder="0" applyAlignment="0" applyProtection="0"/>
    <xf numFmtId="172" fontId="22" fillId="0" borderId="0" applyFont="0" applyFill="0" applyBorder="0" applyAlignment="0" applyProtection="0"/>
    <xf numFmtId="172" fontId="22" fillId="0" borderId="0" applyFont="0" applyFill="0" applyBorder="0" applyAlignment="0" applyProtection="0"/>
    <xf numFmtId="0" fontId="22" fillId="0" borderId="0"/>
    <xf numFmtId="0" fontId="22" fillId="0" borderId="0"/>
    <xf numFmtId="0" fontId="23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173" fontId="22" fillId="0" borderId="0" applyFont="0" applyFill="0" applyBorder="0" applyAlignment="0" applyProtection="0"/>
    <xf numFmtId="173" fontId="22" fillId="0" borderId="0" applyFont="0" applyFill="0" applyBorder="0" applyAlignment="0" applyProtection="0"/>
    <xf numFmtId="0" fontId="22" fillId="0" borderId="0"/>
    <xf numFmtId="0" fontId="22" fillId="0" borderId="0"/>
    <xf numFmtId="0" fontId="23" fillId="0" borderId="0"/>
    <xf numFmtId="174" fontId="22" fillId="0" borderId="0" applyFont="0" applyFill="0" applyBorder="0" applyAlignment="0" applyProtection="0"/>
    <xf numFmtId="174" fontId="22" fillId="0" borderId="0" applyFont="0" applyFill="0" applyBorder="0" applyAlignment="0" applyProtection="0"/>
    <xf numFmtId="175" fontId="22" fillId="0" borderId="0" applyFont="0" applyFill="0" applyBorder="0" applyAlignment="0" applyProtection="0"/>
    <xf numFmtId="175" fontId="22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4" fillId="0" borderId="0"/>
    <xf numFmtId="0" fontId="25" fillId="0" borderId="0" applyNumberFormat="0" applyFill="0" applyBorder="0" applyAlignment="0" applyProtection="0"/>
    <xf numFmtId="0" fontId="22" fillId="2" borderId="0" applyNumberFormat="0" applyFont="0" applyAlignment="0" applyProtection="0"/>
    <xf numFmtId="0" fontId="22" fillId="2" borderId="0" applyNumberFormat="0" applyFont="0" applyAlignment="0" applyProtection="0"/>
    <xf numFmtId="0" fontId="22" fillId="0" borderId="0"/>
    <xf numFmtId="0" fontId="22" fillId="0" borderId="0"/>
    <xf numFmtId="0" fontId="23" fillId="0" borderId="0"/>
    <xf numFmtId="0" fontId="23" fillId="0" borderId="0"/>
    <xf numFmtId="0" fontId="22" fillId="0" borderId="0">
      <alignment vertical="top"/>
    </xf>
    <xf numFmtId="0" fontId="22" fillId="0" borderId="0">
      <alignment vertical="top"/>
    </xf>
    <xf numFmtId="0" fontId="22" fillId="0" borderId="0"/>
    <xf numFmtId="0" fontId="22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8" fontId="22" fillId="0" borderId="0" applyFont="0" applyFill="0" applyBorder="0" applyProtection="0">
      <alignment horizontal="right"/>
    </xf>
    <xf numFmtId="178" fontId="22" fillId="0" borderId="0" applyFont="0" applyFill="0" applyBorder="0" applyProtection="0">
      <alignment horizontal="right"/>
    </xf>
    <xf numFmtId="0" fontId="23" fillId="0" borderId="0"/>
    <xf numFmtId="0" fontId="23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6" fillId="0" borderId="0" applyNumberFormat="0" applyFill="0" applyBorder="0" applyProtection="0">
      <alignment vertical="top"/>
    </xf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7" fillId="0" borderId="1" applyNumberFormat="0" applyFill="0" applyAlignment="0" applyProtection="0"/>
    <xf numFmtId="0" fontId="28" fillId="0" borderId="2" applyNumberFormat="0" applyFill="0" applyProtection="0">
      <alignment horizontal="center"/>
    </xf>
    <xf numFmtId="0" fontId="28" fillId="0" borderId="0" applyNumberFormat="0" applyFill="0" applyBorder="0" applyProtection="0">
      <alignment horizontal="left"/>
    </xf>
    <xf numFmtId="0" fontId="29" fillId="0" borderId="0" applyNumberFormat="0" applyFill="0" applyBorder="0" applyProtection="0">
      <alignment horizontal="centerContinuous"/>
    </xf>
    <xf numFmtId="0" fontId="22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2" fillId="0" borderId="0"/>
    <xf numFmtId="0" fontId="21" fillId="0" borderId="0"/>
    <xf numFmtId="179" fontId="30" fillId="0" borderId="0" applyFont="0" applyFill="0" applyBorder="0" applyAlignment="0" applyProtection="0"/>
    <xf numFmtId="180" fontId="20" fillId="0" borderId="0">
      <alignment horizontal="right"/>
      <protection locked="0"/>
    </xf>
    <xf numFmtId="181" fontId="20" fillId="0" borderId="0">
      <alignment horizontal="right"/>
      <protection locked="0"/>
    </xf>
    <xf numFmtId="182" fontId="20" fillId="0" borderId="0">
      <alignment horizontal="right"/>
      <protection locked="0"/>
    </xf>
    <xf numFmtId="2" fontId="30" fillId="0" borderId="0" applyFont="0" applyFill="0" applyBorder="0" applyAlignment="0" applyProtection="0"/>
    <xf numFmtId="0" fontId="99" fillId="35" borderId="0" applyNumberFormat="0" applyBorder="0" applyAlignment="0" applyProtection="0"/>
    <xf numFmtId="0" fontId="99" fillId="36" borderId="0" applyNumberFormat="0" applyBorder="0" applyAlignment="0" applyProtection="0"/>
    <xf numFmtId="0" fontId="99" fillId="37" borderId="0" applyNumberFormat="0" applyBorder="0" applyAlignment="0" applyProtection="0"/>
    <xf numFmtId="0" fontId="99" fillId="38" borderId="0" applyNumberFormat="0" applyBorder="0" applyAlignment="0" applyProtection="0"/>
    <xf numFmtId="0" fontId="99" fillId="39" borderId="0" applyNumberFormat="0" applyBorder="0" applyAlignment="0" applyProtection="0"/>
    <xf numFmtId="0" fontId="99" fillId="40" borderId="0" applyNumberFormat="0" applyBorder="0" applyAlignment="0" applyProtection="0"/>
    <xf numFmtId="0" fontId="19" fillId="3" borderId="0" applyNumberFormat="0" applyBorder="0" applyAlignment="0" applyProtection="0"/>
    <xf numFmtId="0" fontId="19" fillId="4" borderId="0" applyNumberFormat="0" applyBorder="0" applyAlignment="0" applyProtection="0"/>
    <xf numFmtId="0" fontId="19" fillId="5" borderId="0" applyNumberFormat="0" applyBorder="0" applyAlignment="0" applyProtection="0"/>
    <xf numFmtId="0" fontId="19" fillId="6" borderId="0" applyNumberFormat="0" applyBorder="0" applyAlignment="0" applyProtection="0"/>
    <xf numFmtId="0" fontId="19" fillId="7" borderId="0" applyNumberFormat="0" applyBorder="0" applyAlignment="0" applyProtection="0"/>
    <xf numFmtId="0" fontId="19" fillId="8" borderId="0" applyNumberFormat="0" applyBorder="0" applyAlignment="0" applyProtection="0"/>
    <xf numFmtId="0" fontId="19" fillId="3" borderId="0" applyNumberFormat="0" applyBorder="0" applyAlignment="0" applyProtection="0"/>
    <xf numFmtId="0" fontId="19" fillId="4" borderId="0" applyNumberFormat="0" applyBorder="0" applyAlignment="0" applyProtection="0"/>
    <xf numFmtId="0" fontId="19" fillId="5" borderId="0" applyNumberFormat="0" applyBorder="0" applyAlignment="0" applyProtection="0"/>
    <xf numFmtId="0" fontId="19" fillId="6" borderId="0" applyNumberFormat="0" applyBorder="0" applyAlignment="0" applyProtection="0"/>
    <xf numFmtId="0" fontId="19" fillId="7" borderId="0" applyNumberFormat="0" applyBorder="0" applyAlignment="0" applyProtection="0"/>
    <xf numFmtId="0" fontId="19" fillId="8" borderId="0" applyNumberFormat="0" applyBorder="0" applyAlignment="0" applyProtection="0"/>
    <xf numFmtId="0" fontId="99" fillId="41" borderId="0" applyNumberFormat="0" applyBorder="0" applyAlignment="0" applyProtection="0"/>
    <xf numFmtId="0" fontId="99" fillId="42" borderId="0" applyNumberFormat="0" applyBorder="0" applyAlignment="0" applyProtection="0"/>
    <xf numFmtId="0" fontId="99" fillId="43" borderId="0" applyNumberFormat="0" applyBorder="0" applyAlignment="0" applyProtection="0"/>
    <xf numFmtId="0" fontId="99" fillId="44" borderId="0" applyNumberFormat="0" applyBorder="0" applyAlignment="0" applyProtection="0"/>
    <xf numFmtId="0" fontId="99" fillId="45" borderId="0" applyNumberFormat="0" applyBorder="0" applyAlignment="0" applyProtection="0"/>
    <xf numFmtId="0" fontId="99" fillId="46" borderId="0" applyNumberFormat="0" applyBorder="0" applyAlignment="0" applyProtection="0"/>
    <xf numFmtId="0" fontId="19" fillId="9" borderId="0" applyNumberFormat="0" applyBorder="0" applyAlignment="0" applyProtection="0"/>
    <xf numFmtId="0" fontId="19" fillId="10" borderId="0" applyNumberFormat="0" applyBorder="0" applyAlignment="0" applyProtection="0"/>
    <xf numFmtId="0" fontId="19" fillId="11" borderId="0" applyNumberFormat="0" applyBorder="0" applyAlignment="0" applyProtection="0"/>
    <xf numFmtId="0" fontId="19" fillId="6" borderId="0" applyNumberFormat="0" applyBorder="0" applyAlignment="0" applyProtection="0"/>
    <xf numFmtId="0" fontId="19" fillId="9" borderId="0" applyNumberFormat="0" applyBorder="0" applyAlignment="0" applyProtection="0"/>
    <xf numFmtId="0" fontId="19" fillId="12" borderId="0" applyNumberFormat="0" applyBorder="0" applyAlignment="0" applyProtection="0"/>
    <xf numFmtId="0" fontId="19" fillId="9" borderId="0" applyNumberFormat="0" applyBorder="0" applyAlignment="0" applyProtection="0"/>
    <xf numFmtId="0" fontId="19" fillId="10" borderId="0" applyNumberFormat="0" applyBorder="0" applyAlignment="0" applyProtection="0"/>
    <xf numFmtId="0" fontId="19" fillId="11" borderId="0" applyNumberFormat="0" applyBorder="0" applyAlignment="0" applyProtection="0"/>
    <xf numFmtId="0" fontId="19" fillId="6" borderId="0" applyNumberFormat="0" applyBorder="0" applyAlignment="0" applyProtection="0"/>
    <xf numFmtId="0" fontId="19" fillId="9" borderId="0" applyNumberFormat="0" applyBorder="0" applyAlignment="0" applyProtection="0"/>
    <xf numFmtId="0" fontId="19" fillId="12" borderId="0" applyNumberFormat="0" applyBorder="0" applyAlignment="0" applyProtection="0"/>
    <xf numFmtId="0" fontId="100" fillId="47" borderId="0" applyNumberFormat="0" applyBorder="0" applyAlignment="0" applyProtection="0"/>
    <xf numFmtId="0" fontId="100" fillId="48" borderId="0" applyNumberFormat="0" applyBorder="0" applyAlignment="0" applyProtection="0"/>
    <xf numFmtId="0" fontId="100" fillId="49" borderId="0" applyNumberFormat="0" applyBorder="0" applyAlignment="0" applyProtection="0"/>
    <xf numFmtId="0" fontId="100" fillId="50" borderId="0" applyNumberFormat="0" applyBorder="0" applyAlignment="0" applyProtection="0"/>
    <xf numFmtId="0" fontId="100" fillId="51" borderId="0" applyNumberFormat="0" applyBorder="0" applyAlignment="0" applyProtection="0"/>
    <xf numFmtId="0" fontId="100" fillId="52" borderId="0" applyNumberFormat="0" applyBorder="0" applyAlignment="0" applyProtection="0"/>
    <xf numFmtId="0" fontId="18" fillId="13" borderId="0" applyNumberFormat="0" applyBorder="0" applyAlignment="0" applyProtection="0"/>
    <xf numFmtId="0" fontId="18" fillId="10" borderId="0" applyNumberFormat="0" applyBorder="0" applyAlignment="0" applyProtection="0"/>
    <xf numFmtId="0" fontId="18" fillId="11" borderId="0" applyNumberFormat="0" applyBorder="0" applyAlignment="0" applyProtection="0"/>
    <xf numFmtId="0" fontId="18" fillId="14" borderId="0" applyNumberFormat="0" applyBorder="0" applyAlignment="0" applyProtection="0"/>
    <xf numFmtId="0" fontId="18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3" borderId="0" applyNumberFormat="0" applyBorder="0" applyAlignment="0" applyProtection="0"/>
    <xf numFmtId="0" fontId="18" fillId="10" borderId="0" applyNumberFormat="0" applyBorder="0" applyAlignment="0" applyProtection="0"/>
    <xf numFmtId="0" fontId="18" fillId="11" borderId="0" applyNumberFormat="0" applyBorder="0" applyAlignment="0" applyProtection="0"/>
    <xf numFmtId="0" fontId="18" fillId="14" borderId="0" applyNumberFormat="0" applyBorder="0" applyAlignment="0" applyProtection="0"/>
    <xf numFmtId="0" fontId="18" fillId="15" borderId="0" applyNumberFormat="0" applyBorder="0" applyAlignment="0" applyProtection="0"/>
    <xf numFmtId="0" fontId="18" fillId="16" borderId="0" applyNumberFormat="0" applyBorder="0" applyAlignment="0" applyProtection="0"/>
    <xf numFmtId="41" fontId="31" fillId="0" borderId="0"/>
    <xf numFmtId="183" fontId="31" fillId="0" borderId="0"/>
    <xf numFmtId="0" fontId="32" fillId="0" borderId="0">
      <alignment horizontal="center"/>
    </xf>
    <xf numFmtId="0" fontId="100" fillId="53" borderId="0" applyNumberFormat="0" applyBorder="0" applyAlignment="0" applyProtection="0"/>
    <xf numFmtId="0" fontId="100" fillId="54" borderId="0" applyNumberFormat="0" applyBorder="0" applyAlignment="0" applyProtection="0"/>
    <xf numFmtId="0" fontId="100" fillId="55" borderId="0" applyNumberFormat="0" applyBorder="0" applyAlignment="0" applyProtection="0"/>
    <xf numFmtId="0" fontId="100" fillId="56" borderId="0" applyNumberFormat="0" applyBorder="0" applyAlignment="0" applyProtection="0"/>
    <xf numFmtId="0" fontId="100" fillId="57" borderId="0" applyNumberFormat="0" applyBorder="0" applyAlignment="0" applyProtection="0"/>
    <xf numFmtId="0" fontId="100" fillId="58" borderId="0" applyNumberFormat="0" applyBorder="0" applyAlignment="0" applyProtection="0"/>
    <xf numFmtId="0" fontId="33" fillId="0" borderId="3">
      <alignment horizontal="right"/>
    </xf>
    <xf numFmtId="0" fontId="34" fillId="0" borderId="0"/>
    <xf numFmtId="184" fontId="2" fillId="21" borderId="4">
      <alignment horizontal="center" vertical="center"/>
    </xf>
    <xf numFmtId="0" fontId="35" fillId="0" borderId="0">
      <alignment horizontal="center" wrapText="1"/>
      <protection locked="0"/>
    </xf>
    <xf numFmtId="0" fontId="101" fillId="59" borderId="0" applyNumberFormat="0" applyBorder="0" applyAlignment="0" applyProtection="0"/>
    <xf numFmtId="0" fontId="36" fillId="22" borderId="5" applyNumberFormat="0" applyFont="0" applyAlignment="0">
      <alignment horizontal="center" vertical="center" textRotation="90" wrapText="1"/>
    </xf>
    <xf numFmtId="0" fontId="37" fillId="0" borderId="0" applyNumberFormat="0" applyFill="0" applyBorder="0" applyAlignment="0" applyProtection="0"/>
    <xf numFmtId="0" fontId="102" fillId="60" borderId="0" applyNumberFormat="0" applyBorder="0" applyAlignment="0" applyProtection="0"/>
    <xf numFmtId="0" fontId="38" fillId="0" borderId="6"/>
    <xf numFmtId="0" fontId="39" fillId="0" borderId="0" applyNumberFormat="0">
      <alignment horizontal="center"/>
      <protection hidden="1"/>
    </xf>
    <xf numFmtId="3" fontId="40" fillId="0" borderId="0"/>
    <xf numFmtId="0" fontId="10" fillId="5" borderId="0" applyNumberFormat="0" applyBorder="0" applyAlignment="0" applyProtection="0"/>
    <xf numFmtId="185" fontId="41" fillId="0" borderId="0">
      <alignment horizontal="center"/>
    </xf>
    <xf numFmtId="186" fontId="31" fillId="0" borderId="0" applyFill="0" applyBorder="0" applyAlignment="0"/>
    <xf numFmtId="187" fontId="31" fillId="0" borderId="0" applyFill="0" applyBorder="0" applyAlignment="0"/>
    <xf numFmtId="188" fontId="31" fillId="0" borderId="0" applyFill="0" applyBorder="0" applyAlignment="0"/>
    <xf numFmtId="189" fontId="31" fillId="0" borderId="0" applyFill="0" applyBorder="0" applyAlignment="0"/>
    <xf numFmtId="190" fontId="31" fillId="0" borderId="0" applyFill="0" applyBorder="0" applyAlignment="0"/>
    <xf numFmtId="186" fontId="31" fillId="0" borderId="0" applyFill="0" applyBorder="0" applyAlignment="0"/>
    <xf numFmtId="191" fontId="31" fillId="0" borderId="0" applyFill="0" applyBorder="0" applyAlignment="0"/>
    <xf numFmtId="187" fontId="31" fillId="0" borderId="0" applyFill="0" applyBorder="0" applyAlignment="0"/>
    <xf numFmtId="0" fontId="103" fillId="61" borderId="29" applyNumberFormat="0" applyAlignment="0" applyProtection="0"/>
    <xf numFmtId="0" fontId="13" fillId="23" borderId="7" applyNumberFormat="0" applyAlignment="0" applyProtection="0"/>
    <xf numFmtId="0" fontId="15" fillId="24" borderId="8" applyNumberFormat="0" applyAlignment="0" applyProtection="0"/>
    <xf numFmtId="0" fontId="14" fillId="0" borderId="9" applyNumberFormat="0" applyFill="0" applyAlignment="0" applyProtection="0"/>
    <xf numFmtId="0" fontId="104" fillId="62" borderId="30" applyNumberFormat="0" applyAlignment="0" applyProtection="0"/>
    <xf numFmtId="0" fontId="105" fillId="0" borderId="31" applyNumberFormat="0" applyFill="0" applyAlignment="0" applyProtection="0"/>
    <xf numFmtId="0" fontId="104" fillId="62" borderId="30" applyNumberFormat="0" applyAlignment="0" applyProtection="0"/>
    <xf numFmtId="0" fontId="32" fillId="0" borderId="0" applyNumberFormat="0" applyFill="0" applyBorder="0" applyProtection="0">
      <alignment wrapText="1"/>
    </xf>
    <xf numFmtId="0" fontId="42" fillId="0" borderId="0" applyNumberFormat="0" applyFill="0" applyBorder="0" applyProtection="0">
      <alignment wrapText="1"/>
    </xf>
    <xf numFmtId="0" fontId="43" fillId="0" borderId="0" applyNumberFormat="0" applyFill="0" applyBorder="0" applyProtection="0">
      <alignment horizontal="center" wrapText="1"/>
    </xf>
    <xf numFmtId="192" fontId="44" fillId="0" borderId="0"/>
    <xf numFmtId="192" fontId="44" fillId="0" borderId="0"/>
    <xf numFmtId="192" fontId="44" fillId="0" borderId="0"/>
    <xf numFmtId="192" fontId="44" fillId="0" borderId="0"/>
    <xf numFmtId="192" fontId="44" fillId="0" borderId="0"/>
    <xf numFmtId="192" fontId="44" fillId="0" borderId="0"/>
    <xf numFmtId="192" fontId="44" fillId="0" borderId="0"/>
    <xf numFmtId="192" fontId="44" fillId="0" borderId="0"/>
    <xf numFmtId="186" fontId="31" fillId="0" borderId="0" applyFont="0" applyFill="0" applyBorder="0" applyAlignment="0" applyProtection="0"/>
    <xf numFmtId="166" fontId="45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43" fontId="19" fillId="0" borderId="0" applyFont="0" applyFill="0" applyBorder="0" applyAlignment="0" applyProtection="0"/>
    <xf numFmtId="166" fontId="45" fillId="0" borderId="0" applyFont="0" applyFill="0" applyBorder="0" applyAlignment="0" applyProtection="0"/>
    <xf numFmtId="166" fontId="45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3" fontId="47" fillId="0" borderId="0" applyFont="0" applyFill="0" applyBorder="0" applyAlignment="0" applyProtection="0"/>
    <xf numFmtId="0" fontId="48" fillId="0" borderId="0"/>
    <xf numFmtId="0" fontId="48" fillId="0" borderId="0"/>
    <xf numFmtId="0" fontId="49" fillId="0" borderId="10" applyProtection="0">
      <alignment horizontal="center" vertical="top" wrapText="1"/>
      <protection hidden="1"/>
    </xf>
    <xf numFmtId="0" fontId="50" fillId="0" borderId="0" applyNumberFormat="0" applyAlignment="0">
      <alignment horizontal="left"/>
    </xf>
    <xf numFmtId="0" fontId="51" fillId="0" borderId="0" applyNumberFormat="0" applyAlignment="0"/>
    <xf numFmtId="0" fontId="48" fillId="0" borderId="0"/>
    <xf numFmtId="187" fontId="31" fillId="0" borderId="0" applyFont="0" applyFill="0" applyBorder="0" applyAlignment="0" applyProtection="0"/>
    <xf numFmtId="165" fontId="99" fillId="0" borderId="0" applyFont="0" applyFill="0" applyBorder="0" applyAlignment="0" applyProtection="0"/>
    <xf numFmtId="165" fontId="99" fillId="0" borderId="0" applyFont="0" applyFill="0" applyBorder="0" applyAlignment="0" applyProtection="0"/>
    <xf numFmtId="193" fontId="47" fillId="0" borderId="0" applyFont="0" applyFill="0" applyBorder="0" applyAlignment="0" applyProtection="0"/>
    <xf numFmtId="0" fontId="47" fillId="0" borderId="0" applyFont="0" applyFill="0" applyBorder="0" applyAlignment="0" applyProtection="0"/>
    <xf numFmtId="14" fontId="52" fillId="0" borderId="0" applyFill="0" applyBorder="0" applyAlignment="0"/>
    <xf numFmtId="194" fontId="53" fillId="0" borderId="0"/>
    <xf numFmtId="195" fontId="22" fillId="0" borderId="0" applyFont="0" applyFill="0" applyBorder="0" applyAlignment="0" applyProtection="0"/>
    <xf numFmtId="195" fontId="22" fillId="0" borderId="0" applyFont="0" applyFill="0" applyBorder="0" applyAlignment="0" applyProtection="0"/>
    <xf numFmtId="38" fontId="30" fillId="0" borderId="11">
      <alignment vertical="center"/>
    </xf>
    <xf numFmtId="41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0" fontId="54" fillId="0" borderId="0"/>
    <xf numFmtId="0" fontId="55" fillId="0" borderId="12" applyFill="0" applyBorder="0" applyAlignment="0"/>
    <xf numFmtId="0" fontId="9" fillId="0" borderId="0" applyNumberFormat="0" applyFill="0" applyBorder="0" applyAlignment="0" applyProtection="0"/>
    <xf numFmtId="0" fontId="18" fillId="17" borderId="0" applyNumberFormat="0" applyBorder="0" applyAlignment="0" applyProtection="0"/>
    <xf numFmtId="0" fontId="18" fillId="18" borderId="0" applyNumberFormat="0" applyBorder="0" applyAlignment="0" applyProtection="0"/>
    <xf numFmtId="0" fontId="18" fillId="19" borderId="0" applyNumberFormat="0" applyBorder="0" applyAlignment="0" applyProtection="0"/>
    <xf numFmtId="0" fontId="18" fillId="14" borderId="0" applyNumberFormat="0" applyBorder="0" applyAlignment="0" applyProtection="0"/>
    <xf numFmtId="0" fontId="18" fillId="15" borderId="0" applyNumberFormat="0" applyBorder="0" applyAlignment="0" applyProtection="0"/>
    <xf numFmtId="0" fontId="18" fillId="20" borderId="0" applyNumberFormat="0" applyBorder="0" applyAlignment="0" applyProtection="0"/>
    <xf numFmtId="0" fontId="18" fillId="17" borderId="0" applyNumberFormat="0" applyBorder="0" applyAlignment="0" applyProtection="0"/>
    <xf numFmtId="0" fontId="18" fillId="18" borderId="0" applyNumberFormat="0" applyBorder="0" applyAlignment="0" applyProtection="0"/>
    <xf numFmtId="0" fontId="18" fillId="19" borderId="0" applyNumberFormat="0" applyBorder="0" applyAlignment="0" applyProtection="0"/>
    <xf numFmtId="0" fontId="18" fillId="14" borderId="0" applyNumberFormat="0" applyBorder="0" applyAlignment="0" applyProtection="0"/>
    <xf numFmtId="0" fontId="18" fillId="15" borderId="0" applyNumberFormat="0" applyBorder="0" applyAlignment="0" applyProtection="0"/>
    <xf numFmtId="0" fontId="18" fillId="20" borderId="0" applyNumberFormat="0" applyBorder="0" applyAlignment="0" applyProtection="0"/>
    <xf numFmtId="186" fontId="31" fillId="0" borderId="0" applyFill="0" applyBorder="0" applyAlignment="0"/>
    <xf numFmtId="187" fontId="31" fillId="0" borderId="0" applyFill="0" applyBorder="0" applyAlignment="0"/>
    <xf numFmtId="186" fontId="31" fillId="0" borderId="0" applyFill="0" applyBorder="0" applyAlignment="0"/>
    <xf numFmtId="191" fontId="31" fillId="0" borderId="0" applyFill="0" applyBorder="0" applyAlignment="0"/>
    <xf numFmtId="187" fontId="31" fillId="0" borderId="0" applyFill="0" applyBorder="0" applyAlignment="0"/>
    <xf numFmtId="0" fontId="56" fillId="0" borderId="0" applyNumberFormat="0" applyAlignment="0">
      <alignment horizontal="left"/>
    </xf>
    <xf numFmtId="0" fontId="107" fillId="63" borderId="29" applyNumberFormat="0" applyAlignment="0" applyProtection="0"/>
    <xf numFmtId="196" fontId="22" fillId="0" borderId="0" applyFont="0" applyFill="0" applyBorder="0" applyAlignment="0" applyProtection="0"/>
    <xf numFmtId="196" fontId="22" fillId="0" borderId="0" applyFont="0" applyFill="0" applyBorder="0" applyAlignment="0" applyProtection="0"/>
    <xf numFmtId="0" fontId="108" fillId="0" borderId="0" applyNumberFormat="0" applyFill="0" applyBorder="0" applyAlignment="0" applyProtection="0"/>
    <xf numFmtId="0" fontId="57" fillId="0" borderId="0">
      <protection locked="0"/>
    </xf>
    <xf numFmtId="0" fontId="57" fillId="0" borderId="0">
      <protection locked="0"/>
    </xf>
    <xf numFmtId="0" fontId="58" fillId="0" borderId="0">
      <protection locked="0"/>
    </xf>
    <xf numFmtId="0" fontId="57" fillId="0" borderId="0">
      <protection locked="0"/>
    </xf>
    <xf numFmtId="0" fontId="57" fillId="0" borderId="0">
      <protection locked="0"/>
    </xf>
    <xf numFmtId="0" fontId="57" fillId="0" borderId="0">
      <protection locked="0"/>
    </xf>
    <xf numFmtId="0" fontId="58" fillId="0" borderId="0">
      <protection locked="0"/>
    </xf>
    <xf numFmtId="37" fontId="35" fillId="0" borderId="0" applyBorder="0" applyAlignment="0"/>
    <xf numFmtId="2" fontId="47" fillId="0" borderId="0" applyFont="0" applyFill="0" applyBorder="0" applyAlignment="0" applyProtection="0"/>
    <xf numFmtId="197" fontId="20" fillId="0" borderId="0">
      <alignment horizontal="right"/>
      <protection locked="0"/>
    </xf>
    <xf numFmtId="187" fontId="59" fillId="0" borderId="13" applyNumberFormat="0" applyAlignment="0"/>
    <xf numFmtId="0" fontId="102" fillId="60" borderId="0" applyNumberFormat="0" applyBorder="0" applyAlignment="0" applyProtection="0"/>
    <xf numFmtId="0" fontId="60" fillId="0" borderId="0" applyNumberFormat="0" applyFill="0" applyBorder="0" applyProtection="0">
      <alignment wrapText="1"/>
    </xf>
    <xf numFmtId="0" fontId="47" fillId="0" borderId="0" applyNumberFormat="0" applyFill="0" applyBorder="0" applyProtection="0">
      <alignment wrapText="1"/>
    </xf>
    <xf numFmtId="38" fontId="60" fillId="25" borderId="0" applyNumberFormat="0" applyBorder="0" applyAlignment="0" applyProtection="0"/>
    <xf numFmtId="0" fontId="61" fillId="0" borderId="0" applyNumberFormat="0" applyFill="0" applyBorder="0" applyAlignment="0" applyProtection="0"/>
    <xf numFmtId="0" fontId="42" fillId="0" borderId="14" applyNumberFormat="0" applyAlignment="0" applyProtection="0">
      <alignment horizontal="left" vertical="center"/>
    </xf>
    <xf numFmtId="0" fontId="42" fillId="0" borderId="15">
      <alignment horizontal="left" vertical="center"/>
    </xf>
    <xf numFmtId="0" fontId="62" fillId="25" borderId="0">
      <alignment horizontal="center" vertical="center"/>
    </xf>
    <xf numFmtId="0" fontId="109" fillId="0" borderId="32" applyNumberFormat="0" applyFill="0" applyAlignment="0" applyProtection="0"/>
    <xf numFmtId="0" fontId="110" fillId="0" borderId="33" applyNumberFormat="0" applyFill="0" applyAlignment="0" applyProtection="0"/>
    <xf numFmtId="0" fontId="111" fillId="0" borderId="34" applyNumberFormat="0" applyFill="0" applyAlignment="0" applyProtection="0"/>
    <xf numFmtId="0" fontId="111" fillId="0" borderId="0" applyNumberFormat="0" applyFill="0" applyBorder="0" applyAlignment="0" applyProtection="0"/>
    <xf numFmtId="198" fontId="22" fillId="0" borderId="0">
      <protection locked="0"/>
    </xf>
    <xf numFmtId="198" fontId="22" fillId="0" borderId="0">
      <protection locked="0"/>
    </xf>
    <xf numFmtId="198" fontId="22" fillId="0" borderId="0">
      <protection locked="0"/>
    </xf>
    <xf numFmtId="198" fontId="22" fillId="0" borderId="0">
      <protection locked="0"/>
    </xf>
    <xf numFmtId="0" fontId="63" fillId="0" borderId="19" applyNumberFormat="0" applyFill="0" applyAlignment="0" applyProtection="0"/>
    <xf numFmtId="0" fontId="64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4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51" fillId="0" borderId="0"/>
    <xf numFmtId="10" fontId="60" fillId="26" borderId="10" applyNumberFormat="0" applyBorder="0" applyAlignment="0" applyProtection="0"/>
    <xf numFmtId="0" fontId="107" fillId="63" borderId="29" applyNumberFormat="0" applyAlignment="0" applyProtection="0"/>
    <xf numFmtId="199" fontId="67" fillId="27" borderId="0"/>
    <xf numFmtId="0" fontId="60" fillId="0" borderId="0" applyNumberFormat="0" applyFill="0" applyBorder="0" applyProtection="0">
      <alignment horizontal="left"/>
    </xf>
    <xf numFmtId="2" fontId="68" fillId="0" borderId="10"/>
    <xf numFmtId="186" fontId="31" fillId="0" borderId="0" applyFill="0" applyBorder="0" applyAlignment="0"/>
    <xf numFmtId="187" fontId="31" fillId="0" borderId="0" applyFill="0" applyBorder="0" applyAlignment="0"/>
    <xf numFmtId="186" fontId="31" fillId="0" borderId="0" applyFill="0" applyBorder="0" applyAlignment="0"/>
    <xf numFmtId="191" fontId="31" fillId="0" borderId="0" applyFill="0" applyBorder="0" applyAlignment="0"/>
    <xf numFmtId="187" fontId="31" fillId="0" borderId="0" applyFill="0" applyBorder="0" applyAlignment="0"/>
    <xf numFmtId="0" fontId="105" fillId="0" borderId="31" applyNumberFormat="0" applyFill="0" applyAlignment="0" applyProtection="0"/>
    <xf numFmtId="199" fontId="69" fillId="28" borderId="0"/>
    <xf numFmtId="44" fontId="21" fillId="0" borderId="0">
      <alignment horizontal="justify"/>
    </xf>
    <xf numFmtId="200" fontId="70" fillId="0" borderId="0">
      <protection locked="0"/>
    </xf>
    <xf numFmtId="201" fontId="70" fillId="0" borderId="0" applyFont="0" applyProtection="0">
      <protection locked="0"/>
    </xf>
    <xf numFmtId="164" fontId="22" fillId="0" borderId="0" applyFont="0" applyFill="0" applyBorder="0" applyAlignment="0" applyProtection="0"/>
    <xf numFmtId="40" fontId="30" fillId="0" borderId="0" applyFont="0" applyFill="0" applyBorder="0" applyAlignment="0" applyProtection="0"/>
    <xf numFmtId="6" fontId="22" fillId="0" borderId="0" applyFont="0" applyFill="0" applyProtection="0"/>
    <xf numFmtId="202" fontId="22" fillId="0" borderId="0" applyFont="0" applyFill="0" applyBorder="0" applyAlignment="0" applyProtection="0"/>
    <xf numFmtId="203" fontId="22" fillId="0" borderId="0" applyFont="0" applyFill="0" applyBorder="0" applyAlignment="0" applyProtection="0"/>
    <xf numFmtId="204" fontId="22" fillId="0" borderId="0" applyFont="0" applyFill="0" applyBorder="0" applyAlignment="0" applyProtection="0"/>
    <xf numFmtId="10" fontId="22" fillId="0" borderId="0" applyFont="0" applyFill="0" applyProtection="0"/>
    <xf numFmtId="12" fontId="22" fillId="0" borderId="0" applyFont="0" applyFill="0" applyProtection="0"/>
    <xf numFmtId="205" fontId="22" fillId="0" borderId="0" applyFont="0" applyFill="0" applyBorder="0" applyAlignment="0" applyProtection="0"/>
    <xf numFmtId="206" fontId="22" fillId="0" borderId="0" applyFont="0" applyFill="0" applyBorder="0" applyAlignment="0" applyProtection="0"/>
    <xf numFmtId="0" fontId="112" fillId="64" borderId="0" applyNumberFormat="0" applyBorder="0" applyAlignment="0" applyProtection="0"/>
    <xf numFmtId="0" fontId="112" fillId="64" borderId="0" applyNumberFormat="0" applyBorder="0" applyAlignment="0" applyProtection="0"/>
    <xf numFmtId="37" fontId="71" fillId="0" borderId="0"/>
    <xf numFmtId="0" fontId="22" fillId="0" borderId="0"/>
    <xf numFmtId="0" fontId="22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99" fillId="0" borderId="0"/>
    <xf numFmtId="0" fontId="99" fillId="0" borderId="0"/>
    <xf numFmtId="0" fontId="99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99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99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99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06" fillId="0" borderId="0"/>
    <xf numFmtId="0" fontId="106" fillId="0" borderId="0"/>
    <xf numFmtId="0" fontId="106" fillId="0" borderId="0"/>
    <xf numFmtId="0" fontId="22" fillId="0" borderId="0"/>
    <xf numFmtId="0" fontId="22" fillId="0" borderId="0"/>
    <xf numFmtId="0" fontId="106" fillId="0" borderId="0"/>
    <xf numFmtId="0" fontId="22" fillId="0" borderId="0"/>
    <xf numFmtId="0" fontId="19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99" fillId="0" borderId="0"/>
    <xf numFmtId="0" fontId="22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1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1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19" fillId="0" borderId="0"/>
    <xf numFmtId="0" fontId="30" fillId="0" borderId="0"/>
    <xf numFmtId="0" fontId="22" fillId="29" borderId="20" applyNumberFormat="0" applyFont="0" applyAlignment="0" applyProtection="0"/>
    <xf numFmtId="0" fontId="99" fillId="65" borderId="35" applyNumberFormat="0" applyFont="0" applyAlignment="0" applyProtection="0"/>
    <xf numFmtId="0" fontId="22" fillId="29" borderId="20" applyNumberFormat="0" applyFont="0" applyAlignment="0" applyProtection="0"/>
    <xf numFmtId="0" fontId="22" fillId="29" borderId="20" applyNumberFormat="0" applyFont="0" applyAlignment="0" applyProtection="0"/>
    <xf numFmtId="0" fontId="19" fillId="65" borderId="35" applyNumberFormat="0" applyFont="0" applyAlignment="0" applyProtection="0"/>
    <xf numFmtId="207" fontId="60" fillId="0" borderId="0" applyFill="0" applyBorder="0" applyProtection="0">
      <alignment horizontal="right" wrapText="1"/>
    </xf>
    <xf numFmtId="207" fontId="32" fillId="0" borderId="0" applyFill="0" applyBorder="0" applyProtection="0">
      <alignment horizontal="right" wrapText="1"/>
    </xf>
    <xf numFmtId="208" fontId="60" fillId="0" borderId="0" applyFill="0" applyBorder="0" applyProtection="0">
      <alignment horizontal="right" wrapText="1"/>
    </xf>
    <xf numFmtId="208" fontId="32" fillId="0" borderId="0" applyFill="0" applyBorder="0" applyProtection="0">
      <alignment horizontal="right" wrapText="1"/>
    </xf>
    <xf numFmtId="207" fontId="60" fillId="0" borderId="0" applyFill="0" applyBorder="0" applyProtection="0">
      <alignment horizontal="right" wrapText="1"/>
    </xf>
    <xf numFmtId="207" fontId="32" fillId="0" borderId="0" applyFill="0" applyBorder="0" applyProtection="0">
      <alignment horizontal="right" wrapText="1"/>
    </xf>
    <xf numFmtId="209" fontId="60" fillId="0" borderId="0" applyFill="0" applyBorder="0" applyProtection="0">
      <alignment horizontal="right" wrapText="1"/>
    </xf>
    <xf numFmtId="209" fontId="32" fillId="0" borderId="0" applyFill="0" applyBorder="0" applyProtection="0">
      <alignment horizontal="right" wrapText="1"/>
    </xf>
    <xf numFmtId="0" fontId="72" fillId="0" borderId="0">
      <alignment horizontal="left"/>
    </xf>
    <xf numFmtId="0" fontId="73" fillId="0" borderId="0">
      <alignment horizontal="left"/>
    </xf>
    <xf numFmtId="0" fontId="74" fillId="0" borderId="0"/>
    <xf numFmtId="0" fontId="72" fillId="0" borderId="0">
      <alignment horizontal="center"/>
    </xf>
    <xf numFmtId="166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113" fillId="61" borderId="36" applyNumberFormat="0" applyAlignment="0" applyProtection="0"/>
    <xf numFmtId="40" fontId="75" fillId="22" borderId="0">
      <alignment horizontal="right"/>
    </xf>
    <xf numFmtId="0" fontId="76" fillId="22" borderId="0">
      <alignment horizontal="center" vertical="center"/>
    </xf>
    <xf numFmtId="0" fontId="62" fillId="22" borderId="12"/>
    <xf numFmtId="0" fontId="76" fillId="22" borderId="0" applyBorder="0">
      <alignment horizontal="centerContinuous"/>
    </xf>
    <xf numFmtId="0" fontId="77" fillId="22" borderId="0" applyBorder="0">
      <alignment horizontal="centerContinuous"/>
    </xf>
    <xf numFmtId="0" fontId="78" fillId="30" borderId="10" applyNumberFormat="0" applyProtection="0">
      <alignment horizontal="center" vertical="top" wrapText="1"/>
      <protection hidden="1"/>
    </xf>
    <xf numFmtId="49" fontId="79" fillId="0" borderId="3" applyFill="0" applyProtection="0">
      <alignment vertical="center"/>
    </xf>
    <xf numFmtId="14" fontId="35" fillId="0" borderId="0">
      <alignment horizontal="center" wrapText="1"/>
      <protection locked="0"/>
    </xf>
    <xf numFmtId="0" fontId="48" fillId="0" borderId="0"/>
    <xf numFmtId="190" fontId="31" fillId="0" borderId="0" applyFont="0" applyFill="0" applyBorder="0" applyAlignment="0" applyProtection="0"/>
    <xf numFmtId="210" fontId="31" fillId="0" borderId="0" applyFont="0" applyFill="0" applyBorder="0" applyAlignment="0" applyProtection="0"/>
    <xf numFmtId="10" fontId="22" fillId="0" borderId="0" applyFont="0" applyFill="0" applyBorder="0" applyAlignment="0" applyProtection="0"/>
    <xf numFmtId="10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13" fontId="22" fillId="0" borderId="0" applyFont="0" applyFill="0" applyProtection="0"/>
    <xf numFmtId="0" fontId="80" fillId="0" borderId="0" applyFont="0"/>
    <xf numFmtId="13" fontId="22" fillId="0" borderId="0" applyFont="0" applyFill="0" applyProtection="0"/>
    <xf numFmtId="186" fontId="31" fillId="0" borderId="0" applyFill="0" applyBorder="0" applyAlignment="0"/>
    <xf numFmtId="187" fontId="31" fillId="0" borderId="0" applyFill="0" applyBorder="0" applyAlignment="0"/>
    <xf numFmtId="186" fontId="31" fillId="0" borderId="0" applyFill="0" applyBorder="0" applyAlignment="0"/>
    <xf numFmtId="191" fontId="31" fillId="0" borderId="0" applyFill="0" applyBorder="0" applyAlignment="0"/>
    <xf numFmtId="187" fontId="31" fillId="0" borderId="0" applyFill="0" applyBorder="0" applyAlignment="0"/>
    <xf numFmtId="5" fontId="20" fillId="0" borderId="0"/>
    <xf numFmtId="0" fontId="30" fillId="0" borderId="0" applyNumberFormat="0" applyFont="0" applyFill="0" applyBorder="0" applyAlignment="0" applyProtection="0">
      <alignment horizontal="left"/>
    </xf>
    <xf numFmtId="0" fontId="81" fillId="31" borderId="22"/>
    <xf numFmtId="211" fontId="82" fillId="0" borderId="0" applyNumberFormat="0" applyFill="0" applyBorder="0" applyAlignment="0" applyProtection="0">
      <alignment horizontal="left"/>
    </xf>
    <xf numFmtId="0" fontId="12" fillId="23" borderId="21" applyNumberFormat="0" applyAlignment="0" applyProtection="0"/>
    <xf numFmtId="0" fontId="12" fillId="23" borderId="21" applyNumberFormat="0" applyAlignment="0" applyProtection="0"/>
    <xf numFmtId="38" fontId="22" fillId="0" borderId="0"/>
    <xf numFmtId="15" fontId="22" fillId="0" borderId="0"/>
    <xf numFmtId="15" fontId="22" fillId="0" borderId="0"/>
    <xf numFmtId="0" fontId="22" fillId="0" borderId="0"/>
    <xf numFmtId="0" fontId="22" fillId="0" borderId="0"/>
    <xf numFmtId="38" fontId="22" fillId="0" borderId="0"/>
    <xf numFmtId="38" fontId="22" fillId="0" borderId="0"/>
    <xf numFmtId="38" fontId="22" fillId="0" borderId="0"/>
    <xf numFmtId="38" fontId="22" fillId="0" borderId="0"/>
    <xf numFmtId="38" fontId="22" fillId="0" borderId="0"/>
    <xf numFmtId="15" fontId="22" fillId="0" borderId="0"/>
    <xf numFmtId="15" fontId="22" fillId="0" borderId="0"/>
    <xf numFmtId="49" fontId="22" fillId="0" borderId="0"/>
    <xf numFmtId="49" fontId="22" fillId="0" borderId="0"/>
    <xf numFmtId="0" fontId="83" fillId="0" borderId="0">
      <alignment horizontal="right"/>
    </xf>
    <xf numFmtId="212" fontId="22" fillId="0" borderId="0">
      <alignment horizontal="left" vertical="top" wrapText="1"/>
      <protection locked="0"/>
    </xf>
    <xf numFmtId="212" fontId="22" fillId="0" borderId="0">
      <alignment horizontal="left" vertical="top" wrapText="1"/>
      <protection locked="0"/>
    </xf>
    <xf numFmtId="0" fontId="84" fillId="0" borderId="0" applyNumberFormat="0" applyFill="0" applyBorder="0" applyAlignment="0" applyProtection="0">
      <alignment vertical="top"/>
      <protection locked="0"/>
    </xf>
    <xf numFmtId="2" fontId="2" fillId="0" borderId="23"/>
    <xf numFmtId="0" fontId="85" fillId="0" borderId="24" applyBorder="0" applyAlignment="0">
      <alignment horizontal="center"/>
    </xf>
    <xf numFmtId="0" fontId="22" fillId="0" borderId="0"/>
    <xf numFmtId="0" fontId="86" fillId="0" borderId="24" applyBorder="0" applyAlignment="0">
      <alignment horizontal="center"/>
    </xf>
    <xf numFmtId="0" fontId="23" fillId="0" borderId="0"/>
    <xf numFmtId="0" fontId="22" fillId="0" borderId="0"/>
    <xf numFmtId="0" fontId="22" fillId="0" borderId="0"/>
    <xf numFmtId="4" fontId="60" fillId="0" borderId="0" applyFill="0" applyBorder="0" applyProtection="0">
      <alignment horizontal="center" wrapText="1"/>
    </xf>
    <xf numFmtId="3" fontId="60" fillId="0" borderId="0" applyFill="0" applyBorder="0" applyProtection="0">
      <alignment horizontal="right" wrapText="1"/>
    </xf>
    <xf numFmtId="213" fontId="60" fillId="0" borderId="0" applyFill="0" applyBorder="0" applyProtection="0">
      <alignment horizontal="right" wrapText="1"/>
    </xf>
    <xf numFmtId="14" fontId="60" fillId="0" borderId="0" applyFill="0" applyBorder="0" applyProtection="0">
      <alignment horizontal="right"/>
    </xf>
    <xf numFmtId="214" fontId="60" fillId="0" borderId="0" applyFill="0" applyBorder="0" applyProtection="0">
      <alignment horizontal="right"/>
    </xf>
    <xf numFmtId="215" fontId="60" fillId="0" borderId="0" applyFill="0" applyBorder="0" applyProtection="0">
      <alignment horizontal="right"/>
    </xf>
    <xf numFmtId="216" fontId="60" fillId="0" borderId="0" applyFill="0" applyBorder="0" applyProtection="0">
      <alignment horizontal="center" wrapText="1"/>
    </xf>
    <xf numFmtId="217" fontId="60" fillId="0" borderId="0" applyFill="0" applyBorder="0" applyProtection="0">
      <alignment horizontal="center" wrapText="1"/>
    </xf>
    <xf numFmtId="4" fontId="60" fillId="0" borderId="0" applyFill="0" applyBorder="0" applyProtection="0">
      <alignment wrapText="1"/>
    </xf>
    <xf numFmtId="0" fontId="42" fillId="0" borderId="14" applyNumberFormat="0" applyAlignment="0" applyProtection="0">
      <alignment horizontal="left" vertical="center"/>
    </xf>
    <xf numFmtId="0" fontId="60" fillId="0" borderId="0" applyNumberFormat="0" applyFill="0" applyBorder="0" applyProtection="0">
      <alignment horizontal="left" vertical="top" wrapText="1"/>
    </xf>
    <xf numFmtId="0" fontId="32" fillId="0" borderId="0" applyNumberFormat="0" applyFill="0" applyBorder="0" applyProtection="0">
      <alignment horizontal="left" vertical="top" wrapText="1"/>
    </xf>
    <xf numFmtId="4" fontId="87" fillId="0" borderId="0" applyFill="0" applyBorder="0" applyProtection="0">
      <alignment horizontal="center" wrapText="1"/>
    </xf>
    <xf numFmtId="216" fontId="87" fillId="0" borderId="0" applyFill="0" applyBorder="0" applyProtection="0">
      <alignment horizontal="right" wrapText="1"/>
    </xf>
    <xf numFmtId="213" fontId="87" fillId="0" borderId="0" applyFill="0" applyBorder="0" applyProtection="0">
      <alignment horizontal="right" wrapText="1"/>
    </xf>
    <xf numFmtId="3" fontId="87" fillId="0" borderId="0" applyFill="0" applyBorder="0" applyProtection="0">
      <alignment horizontal="right" wrapText="1"/>
    </xf>
    <xf numFmtId="3" fontId="87" fillId="0" borderId="0" applyFill="0" applyBorder="0" applyProtection="0">
      <alignment horizontal="center" wrapText="1"/>
    </xf>
    <xf numFmtId="214" fontId="87" fillId="0" borderId="0" applyFill="0" applyBorder="0" applyProtection="0">
      <alignment horizontal="right"/>
    </xf>
    <xf numFmtId="14" fontId="87" fillId="0" borderId="0" applyFill="0" applyBorder="0" applyProtection="0">
      <alignment horizontal="right"/>
    </xf>
    <xf numFmtId="4" fontId="87" fillId="0" borderId="0" applyFill="0" applyBorder="0" applyProtection="0">
      <alignment wrapText="1"/>
    </xf>
    <xf numFmtId="0" fontId="42" fillId="0" borderId="15">
      <alignment horizontal="left" vertical="center"/>
    </xf>
    <xf numFmtId="0" fontId="32" fillId="0" borderId="25" applyNumberFormat="0" applyFill="0" applyProtection="0">
      <alignment wrapText="1"/>
    </xf>
    <xf numFmtId="0" fontId="2" fillId="0" borderId="0" applyNumberFormat="0" applyFill="0" applyBorder="0" applyProtection="0">
      <alignment wrapText="1"/>
    </xf>
    <xf numFmtId="0" fontId="32" fillId="0" borderId="25" applyNumberFormat="0" applyFill="0" applyProtection="0">
      <alignment horizontal="center" wrapText="1"/>
    </xf>
    <xf numFmtId="218" fontId="32" fillId="0" borderId="0" applyFill="0" applyBorder="0" applyProtection="0">
      <alignment horizontal="center" wrapText="1"/>
    </xf>
    <xf numFmtId="0" fontId="42" fillId="0" borderId="0" applyNumberFormat="0" applyFill="0" applyBorder="0" applyProtection="0">
      <alignment horizontal="justify" wrapText="1"/>
    </xf>
    <xf numFmtId="0" fontId="32" fillId="0" borderId="0" applyNumberFormat="0" applyFill="0" applyBorder="0" applyProtection="0">
      <alignment horizontal="centerContinuous" wrapText="1"/>
    </xf>
    <xf numFmtId="44" fontId="60" fillId="0" borderId="0" applyFill="0" applyBorder="0" applyProtection="0">
      <alignment horizontal="right" wrapText="1"/>
    </xf>
    <xf numFmtId="44" fontId="32" fillId="0" borderId="0" applyFill="0" applyBorder="0" applyProtection="0">
      <alignment horizontal="right" wrapText="1"/>
    </xf>
    <xf numFmtId="219" fontId="60" fillId="0" borderId="0" applyFill="0" applyBorder="0" applyProtection="0">
      <alignment horizontal="right" wrapText="1"/>
    </xf>
    <xf numFmtId="219" fontId="32" fillId="0" borderId="0" applyFill="0" applyBorder="0" applyProtection="0">
      <alignment horizontal="right" wrapText="1"/>
    </xf>
    <xf numFmtId="44" fontId="88" fillId="0" borderId="0" applyFill="0" applyBorder="0" applyProtection="0">
      <alignment horizontal="right" wrapText="1"/>
    </xf>
    <xf numFmtId="218" fontId="60" fillId="0" borderId="0" applyFill="0" applyBorder="0" applyProtection="0">
      <alignment horizontal="right" wrapText="1"/>
    </xf>
    <xf numFmtId="0" fontId="89" fillId="0" borderId="0" applyNumberFormat="0" applyFill="0" applyBorder="0" applyProtection="0">
      <alignment horizontal="left" wrapText="1"/>
    </xf>
    <xf numFmtId="0" fontId="89" fillId="0" borderId="0" applyNumberFormat="0" applyFill="0" applyBorder="0" applyProtection="0">
      <alignment horizontal="right" vertical="top" wrapText="1"/>
    </xf>
    <xf numFmtId="0" fontId="89" fillId="0" borderId="0" applyNumberFormat="0" applyFill="0" applyBorder="0" applyProtection="0">
      <alignment horizontal="right" wrapText="1"/>
    </xf>
    <xf numFmtId="0" fontId="89" fillId="0" borderId="0" applyNumberFormat="0" applyFill="0" applyBorder="0" applyProtection="0">
      <alignment horizontal="center" vertical="top" wrapText="1"/>
    </xf>
    <xf numFmtId="0" fontId="89" fillId="0" borderId="0" applyNumberFormat="0" applyFill="0" applyBorder="0" applyProtection="0">
      <alignment horizontal="center" wrapText="1"/>
    </xf>
    <xf numFmtId="0" fontId="90" fillId="32" borderId="0" applyNumberFormat="0" applyBorder="0" applyProtection="0">
      <alignment horizontal="left" wrapText="1"/>
    </xf>
    <xf numFmtId="0" fontId="90" fillId="32" borderId="0" applyNumberFormat="0" applyBorder="0" applyProtection="0">
      <alignment horizontal="left"/>
    </xf>
    <xf numFmtId="0" fontId="90" fillId="32" borderId="0" applyNumberFormat="0" applyBorder="0" applyProtection="0">
      <alignment horizontal="right"/>
    </xf>
    <xf numFmtId="0" fontId="91" fillId="33" borderId="0" applyNumberFormat="0" applyBorder="0" applyProtection="0">
      <alignment vertical="top" wrapText="1"/>
    </xf>
    <xf numFmtId="220" fontId="91" fillId="33" borderId="0" applyBorder="0" applyProtection="0">
      <alignment vertical="top" wrapText="1"/>
    </xf>
    <xf numFmtId="4" fontId="60" fillId="0" borderId="0" applyFill="0" applyBorder="0" applyProtection="0">
      <alignment horizontal="right"/>
    </xf>
    <xf numFmtId="220" fontId="60" fillId="0" borderId="0" applyFill="0" applyBorder="0" applyProtection="0">
      <alignment horizontal="right"/>
    </xf>
    <xf numFmtId="3" fontId="60" fillId="0" borderId="0" applyFill="0" applyBorder="0" applyProtection="0">
      <alignment horizontal="right"/>
    </xf>
    <xf numFmtId="213" fontId="60" fillId="0" borderId="0" applyFill="0" applyBorder="0" applyProtection="0">
      <alignment horizontal="right"/>
    </xf>
    <xf numFmtId="4" fontId="32" fillId="0" borderId="0" applyFill="0" applyBorder="0" applyProtection="0">
      <alignment horizontal="right"/>
    </xf>
    <xf numFmtId="4" fontId="89" fillId="0" borderId="0" applyFill="0" applyBorder="0" applyProtection="0">
      <alignment horizontal="right"/>
    </xf>
    <xf numFmtId="221" fontId="60" fillId="0" borderId="0" applyFill="0" applyBorder="0" applyProtection="0">
      <alignment horizontal="right" vertical="top" wrapText="1"/>
    </xf>
    <xf numFmtId="0" fontId="73" fillId="0" borderId="25" applyNumberFormat="0" applyFill="0" applyProtection="0">
      <alignment horizontal="left" vertical="top"/>
    </xf>
    <xf numFmtId="4" fontId="60" fillId="0" borderId="0" applyFill="0" applyBorder="0" applyProtection="0">
      <alignment horizontal="left"/>
    </xf>
    <xf numFmtId="4" fontId="60" fillId="0" borderId="0" applyFill="0" applyBorder="0" applyProtection="0">
      <alignment horizontal="center"/>
    </xf>
    <xf numFmtId="214" fontId="60" fillId="0" borderId="0" applyFill="0" applyBorder="0" applyProtection="0">
      <alignment horizontal="right"/>
    </xf>
    <xf numFmtId="219" fontId="60" fillId="0" borderId="0" applyFill="0" applyBorder="0" applyProtection="0">
      <alignment horizontal="right"/>
    </xf>
    <xf numFmtId="222" fontId="60" fillId="0" borderId="0" applyFill="0" applyBorder="0" applyProtection="0">
      <alignment horizontal="right"/>
    </xf>
    <xf numFmtId="211" fontId="60" fillId="0" borderId="0" applyFill="0" applyBorder="0" applyProtection="0">
      <alignment horizontal="right"/>
    </xf>
    <xf numFmtId="223" fontId="60" fillId="0" borderId="0" applyFill="0" applyBorder="0" applyProtection="0">
      <alignment horizontal="right"/>
    </xf>
    <xf numFmtId="4" fontId="60" fillId="0" borderId="0" applyFill="0" applyBorder="0" applyProtection="0">
      <alignment horizontal="center"/>
    </xf>
    <xf numFmtId="213" fontId="60" fillId="0" borderId="0" applyFill="0" applyBorder="0" applyProtection="0">
      <alignment horizontal="center"/>
    </xf>
    <xf numFmtId="0" fontId="60" fillId="0" borderId="0" applyNumberFormat="0" applyFill="0" applyBorder="0" applyProtection="0">
      <alignment horizontal="left" vertical="top" wrapText="1"/>
    </xf>
    <xf numFmtId="219" fontId="87" fillId="0" borderId="0" applyFill="0" applyBorder="0" applyProtection="0">
      <alignment horizontal="right"/>
    </xf>
    <xf numFmtId="214" fontId="87" fillId="0" borderId="0" applyFill="0" applyBorder="0" applyProtection="0">
      <alignment horizontal="right"/>
    </xf>
    <xf numFmtId="222" fontId="87" fillId="0" borderId="0" applyFill="0" applyBorder="0" applyProtection="0">
      <alignment horizontal="right"/>
    </xf>
    <xf numFmtId="224" fontId="87" fillId="0" borderId="0" applyFill="0" applyBorder="0" applyProtection="0">
      <alignment horizontal="right"/>
    </xf>
    <xf numFmtId="0" fontId="92" fillId="0" borderId="0" applyNumberFormat="0" applyFill="0" applyBorder="0" applyProtection="0">
      <alignment horizontal="left"/>
    </xf>
    <xf numFmtId="0" fontId="32" fillId="0" borderId="25" applyNumberFormat="0" applyFill="0" applyProtection="0"/>
    <xf numFmtId="0" fontId="2" fillId="0" borderId="0" applyNumberFormat="0" applyFill="0" applyBorder="0" applyProtection="0"/>
    <xf numFmtId="0" fontId="32" fillId="0" borderId="25" applyNumberFormat="0" applyFill="0" applyProtection="0">
      <alignment horizontal="center"/>
    </xf>
    <xf numFmtId="0" fontId="32" fillId="0" borderId="0" applyNumberFormat="0" applyFill="0" applyBorder="0" applyProtection="0">
      <alignment horizontal="center"/>
    </xf>
    <xf numFmtId="0" fontId="32" fillId="0" borderId="0" applyNumberFormat="0" applyFill="0" applyBorder="0" applyProtection="0"/>
    <xf numFmtId="40" fontId="93" fillId="0" borderId="0" applyBorder="0">
      <alignment horizontal="right"/>
    </xf>
    <xf numFmtId="3" fontId="42" fillId="0" borderId="26" applyNumberFormat="0" applyFill="0" applyBorder="0">
      <alignment horizontal="right"/>
    </xf>
    <xf numFmtId="49" fontId="52" fillId="0" borderId="0" applyFill="0" applyBorder="0" applyAlignment="0"/>
    <xf numFmtId="225" fontId="31" fillId="0" borderId="0" applyFill="0" applyBorder="0" applyAlignment="0"/>
    <xf numFmtId="226" fontId="31" fillId="0" borderId="0" applyFill="0" applyBorder="0" applyAlignment="0"/>
    <xf numFmtId="0" fontId="16" fillId="0" borderId="0" applyNumberFormat="0" applyFill="0" applyBorder="0" applyAlignment="0" applyProtection="0"/>
    <xf numFmtId="0" fontId="114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7" fillId="0" borderId="16" applyNumberFormat="0" applyFill="0" applyAlignment="0" applyProtection="0"/>
    <xf numFmtId="0" fontId="8" fillId="0" borderId="17" applyNumberFormat="0" applyFill="0" applyAlignment="0" applyProtection="0"/>
    <xf numFmtId="0" fontId="9" fillId="0" borderId="18" applyNumberFormat="0" applyFill="0" applyAlignment="0" applyProtection="0"/>
    <xf numFmtId="0" fontId="9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115" fillId="0" borderId="37" applyNumberFormat="0" applyFill="0" applyAlignment="0" applyProtection="0"/>
    <xf numFmtId="0" fontId="115" fillId="0" borderId="37" applyNumberFormat="0" applyFill="0" applyAlignment="0" applyProtection="0"/>
    <xf numFmtId="37" fontId="60" fillId="34" borderId="0" applyNumberFormat="0" applyBorder="0" applyAlignment="0" applyProtection="0"/>
    <xf numFmtId="37" fontId="60" fillId="0" borderId="0"/>
    <xf numFmtId="3" fontId="94" fillId="0" borderId="19" applyProtection="0"/>
    <xf numFmtId="227" fontId="22" fillId="0" borderId="0" applyFont="0" applyFill="0" applyBorder="0" applyAlignment="0" applyProtection="0"/>
    <xf numFmtId="228" fontId="30" fillId="0" borderId="0" applyFont="0" applyFill="0" applyBorder="0" applyAlignment="0" applyProtection="0"/>
    <xf numFmtId="42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0" fontId="114" fillId="0" borderId="0" applyNumberFormat="0" applyFill="0" applyBorder="0" applyAlignment="0" applyProtection="0"/>
    <xf numFmtId="0" fontId="95" fillId="0" borderId="0"/>
    <xf numFmtId="40" fontId="96" fillId="0" borderId="0" applyFont="0" applyFill="0" applyBorder="0" applyAlignment="0" applyProtection="0"/>
    <xf numFmtId="38" fontId="97" fillId="0" borderId="0" applyFont="0" applyFill="0" applyBorder="0" applyAlignment="0" applyProtection="0"/>
    <xf numFmtId="0" fontId="97" fillId="0" borderId="0"/>
    <xf numFmtId="188" fontId="51" fillId="0" borderId="0" applyFont="0" applyFill="0" applyBorder="0" applyAlignment="0" applyProtection="0"/>
    <xf numFmtId="229" fontId="98" fillId="0" borderId="0" applyFont="0" applyFill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2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6" borderId="0" applyNumberFormat="0" applyBorder="0" applyAlignment="0" applyProtection="0"/>
    <xf numFmtId="164" fontId="31" fillId="0" borderId="0"/>
    <xf numFmtId="166" fontId="45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45" fillId="0" borderId="0" applyFont="0" applyFill="0" applyBorder="0" applyAlignment="0" applyProtection="0"/>
    <xf numFmtId="166" fontId="45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106" fillId="0" borderId="0" applyFont="0" applyFill="0" applyBorder="0" applyAlignment="0" applyProtection="0"/>
    <xf numFmtId="166" fontId="106" fillId="0" borderId="0" applyFont="0" applyFill="0" applyBorder="0" applyAlignment="0" applyProtection="0"/>
    <xf numFmtId="166" fontId="106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106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4" fillId="0" borderId="0" applyNumberFormat="0" applyFill="0" applyBorder="0" applyProtection="0">
      <alignment wrapText="1"/>
    </xf>
    <xf numFmtId="38" fontId="4" fillId="25" borderId="0" applyNumberFormat="0" applyBorder="0" applyAlignment="0" applyProtection="0"/>
    <xf numFmtId="10" fontId="4" fillId="26" borderId="10" applyNumberFormat="0" applyBorder="0" applyAlignment="0" applyProtection="0"/>
    <xf numFmtId="0" fontId="4" fillId="0" borderId="0" applyNumberFormat="0" applyFill="0" applyBorder="0" applyProtection="0">
      <alignment horizontal="left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65" borderId="35" applyNumberFormat="0" applyFont="0" applyAlignment="0" applyProtection="0"/>
    <xf numFmtId="207" fontId="4" fillId="0" borderId="0" applyFill="0" applyBorder="0" applyProtection="0">
      <alignment horizontal="right" wrapText="1"/>
    </xf>
    <xf numFmtId="208" fontId="4" fillId="0" borderId="0" applyFill="0" applyBorder="0" applyProtection="0">
      <alignment horizontal="right" wrapText="1"/>
    </xf>
    <xf numFmtId="207" fontId="4" fillId="0" borderId="0" applyFill="0" applyBorder="0" applyProtection="0">
      <alignment horizontal="right" wrapText="1"/>
    </xf>
    <xf numFmtId="209" fontId="4" fillId="0" borderId="0" applyFill="0" applyBorder="0" applyProtection="0">
      <alignment horizontal="right" wrapText="1"/>
    </xf>
    <xf numFmtId="4" fontId="4" fillId="0" borderId="0" applyFill="0" applyBorder="0" applyProtection="0">
      <alignment horizontal="center" wrapText="1"/>
    </xf>
    <xf numFmtId="3" fontId="4" fillId="0" borderId="0" applyFill="0" applyBorder="0" applyProtection="0">
      <alignment horizontal="right" wrapText="1"/>
    </xf>
    <xf numFmtId="213" fontId="4" fillId="0" borderId="0" applyFill="0" applyBorder="0" applyProtection="0">
      <alignment horizontal="right" wrapText="1"/>
    </xf>
    <xf numFmtId="14" fontId="4" fillId="0" borderId="0" applyFill="0" applyBorder="0" applyProtection="0">
      <alignment horizontal="right"/>
    </xf>
    <xf numFmtId="214" fontId="4" fillId="0" borderId="0" applyFill="0" applyBorder="0" applyProtection="0">
      <alignment horizontal="right"/>
    </xf>
    <xf numFmtId="215" fontId="4" fillId="0" borderId="0" applyFill="0" applyBorder="0" applyProtection="0">
      <alignment horizontal="right"/>
    </xf>
    <xf numFmtId="216" fontId="4" fillId="0" borderId="0" applyFill="0" applyBorder="0" applyProtection="0">
      <alignment horizontal="center" wrapText="1"/>
    </xf>
    <xf numFmtId="217" fontId="4" fillId="0" borderId="0" applyFill="0" applyBorder="0" applyProtection="0">
      <alignment horizontal="center" wrapText="1"/>
    </xf>
    <xf numFmtId="4" fontId="4" fillId="0" borderId="0" applyFill="0" applyBorder="0" applyProtection="0">
      <alignment wrapText="1"/>
    </xf>
    <xf numFmtId="0" fontId="4" fillId="0" borderId="0" applyNumberFormat="0" applyFill="0" applyBorder="0" applyProtection="0">
      <alignment horizontal="left" vertical="top" wrapText="1"/>
    </xf>
    <xf numFmtId="44" fontId="4" fillId="0" borderId="0" applyFill="0" applyBorder="0" applyProtection="0">
      <alignment horizontal="right" wrapText="1"/>
    </xf>
    <xf numFmtId="219" fontId="4" fillId="0" borderId="0" applyFill="0" applyBorder="0" applyProtection="0">
      <alignment horizontal="right" wrapText="1"/>
    </xf>
    <xf numFmtId="218" fontId="4" fillId="0" borderId="0" applyFill="0" applyBorder="0" applyProtection="0">
      <alignment horizontal="right" wrapText="1"/>
    </xf>
    <xf numFmtId="4" fontId="4" fillId="0" borderId="0" applyFill="0" applyBorder="0" applyProtection="0">
      <alignment horizontal="right"/>
    </xf>
    <xf numFmtId="220" fontId="4" fillId="0" borderId="0" applyFill="0" applyBorder="0" applyProtection="0">
      <alignment horizontal="right"/>
    </xf>
    <xf numFmtId="3" fontId="4" fillId="0" borderId="0" applyFill="0" applyBorder="0" applyProtection="0">
      <alignment horizontal="right"/>
    </xf>
    <xf numFmtId="213" fontId="4" fillId="0" borderId="0" applyFill="0" applyBorder="0" applyProtection="0">
      <alignment horizontal="right"/>
    </xf>
    <xf numFmtId="221" fontId="4" fillId="0" borderId="0" applyFill="0" applyBorder="0" applyProtection="0">
      <alignment horizontal="right" vertical="top" wrapText="1"/>
    </xf>
    <xf numFmtId="4" fontId="4" fillId="0" borderId="0" applyFill="0" applyBorder="0" applyProtection="0">
      <alignment horizontal="left"/>
    </xf>
    <xf numFmtId="4" fontId="4" fillId="0" borderId="0" applyFill="0" applyBorder="0" applyProtection="0">
      <alignment horizontal="center"/>
    </xf>
    <xf numFmtId="214" fontId="4" fillId="0" borderId="0" applyFill="0" applyBorder="0" applyProtection="0">
      <alignment horizontal="right"/>
    </xf>
    <xf numFmtId="219" fontId="4" fillId="0" borderId="0" applyFill="0" applyBorder="0" applyProtection="0">
      <alignment horizontal="right"/>
    </xf>
    <xf numFmtId="222" fontId="4" fillId="0" borderId="0" applyFill="0" applyBorder="0" applyProtection="0">
      <alignment horizontal="right"/>
    </xf>
    <xf numFmtId="211" fontId="4" fillId="0" borderId="0" applyFill="0" applyBorder="0" applyProtection="0">
      <alignment horizontal="right"/>
    </xf>
    <xf numFmtId="223" fontId="4" fillId="0" borderId="0" applyFill="0" applyBorder="0" applyProtection="0">
      <alignment horizontal="right"/>
    </xf>
    <xf numFmtId="4" fontId="4" fillId="0" borderId="0" applyFill="0" applyBorder="0" applyProtection="0">
      <alignment horizontal="center"/>
    </xf>
    <xf numFmtId="213" fontId="4" fillId="0" borderId="0" applyFill="0" applyBorder="0" applyProtection="0">
      <alignment horizontal="center"/>
    </xf>
    <xf numFmtId="0" fontId="4" fillId="0" borderId="0" applyNumberFormat="0" applyFill="0" applyBorder="0" applyProtection="0">
      <alignment horizontal="left" vertical="top" wrapText="1"/>
    </xf>
    <xf numFmtId="37" fontId="4" fillId="34" borderId="0" applyNumberFormat="0" applyBorder="0" applyAlignment="0" applyProtection="0"/>
    <xf numFmtId="37" fontId="4" fillId="0" borderId="0"/>
    <xf numFmtId="165" fontId="119" fillId="0" borderId="0" applyFont="0" applyFill="0" applyBorder="0" applyAlignment="0" applyProtection="0"/>
  </cellStyleXfs>
  <cellXfs count="186">
    <xf numFmtId="0" fontId="0" fillId="0" borderId="0" xfId="0"/>
    <xf numFmtId="0" fontId="22" fillId="0" borderId="0" xfId="0" applyFont="1"/>
    <xf numFmtId="0" fontId="117" fillId="0" borderId="0" xfId="0" applyFont="1" applyAlignment="1">
      <alignment vertical="center"/>
    </xf>
    <xf numFmtId="0" fontId="118" fillId="0" borderId="0" xfId="0" applyFont="1"/>
    <xf numFmtId="0" fontId="3" fillId="66" borderId="15" xfId="0" applyFont="1" applyFill="1" applyBorder="1" applyAlignment="1">
      <alignment vertical="center"/>
    </xf>
    <xf numFmtId="0" fontId="3" fillId="0" borderId="0" xfId="0" applyFont="1" applyAlignment="1">
      <alignment vertical="center"/>
    </xf>
    <xf numFmtId="0" fontId="2" fillId="67" borderId="42" xfId="0" applyFont="1" applyFill="1" applyBorder="1" applyAlignment="1">
      <alignment vertical="center" wrapText="1"/>
    </xf>
    <xf numFmtId="0" fontId="42" fillId="0" borderId="47" xfId="0" applyFont="1" applyBorder="1" applyAlignment="1">
      <alignment horizontal="center" vertical="center"/>
    </xf>
    <xf numFmtId="0" fontId="33" fillId="66" borderId="39" xfId="0" applyFont="1" applyFill="1" applyBorder="1" applyAlignment="1">
      <alignment vertical="center"/>
    </xf>
    <xf numFmtId="0" fontId="33" fillId="66" borderId="44" xfId="0" applyFont="1" applyFill="1" applyBorder="1" applyAlignment="1">
      <alignment vertical="center"/>
    </xf>
    <xf numFmtId="0" fontId="116" fillId="67" borderId="28" xfId="576" applyFont="1" applyFill="1" applyBorder="1" applyAlignment="1">
      <alignment horizontal="center"/>
    </xf>
    <xf numFmtId="0" fontId="116" fillId="67" borderId="10" xfId="576" applyFont="1" applyFill="1" applyBorder="1"/>
    <xf numFmtId="0" fontId="116" fillId="67" borderId="10" xfId="576" applyFont="1" applyFill="1" applyBorder="1" applyAlignment="1">
      <alignment horizontal="center" vertical="center"/>
    </xf>
    <xf numFmtId="0" fontId="42" fillId="0" borderId="58" xfId="0" applyFont="1" applyBorder="1" applyAlignment="1">
      <alignment horizontal="center" vertical="center"/>
    </xf>
    <xf numFmtId="0" fontId="3" fillId="66" borderId="57" xfId="0" applyFont="1" applyFill="1" applyBorder="1" applyAlignment="1">
      <alignment vertical="center"/>
    </xf>
    <xf numFmtId="0" fontId="42" fillId="0" borderId="57" xfId="0" applyFont="1" applyBorder="1" applyAlignment="1">
      <alignment horizontal="left" vertical="top" wrapText="1"/>
    </xf>
    <xf numFmtId="0" fontId="42" fillId="0" borderId="15" xfId="0" applyFont="1" applyBorder="1" applyAlignment="1">
      <alignment horizontal="left" vertical="top" wrapText="1"/>
    </xf>
    <xf numFmtId="0" fontId="42" fillId="0" borderId="28" xfId="0" applyFont="1" applyBorder="1" applyAlignment="1">
      <alignment horizontal="left" vertical="top" wrapText="1"/>
    </xf>
    <xf numFmtId="14" fontId="42" fillId="0" borderId="10" xfId="0" applyNumberFormat="1" applyFont="1" applyBorder="1" applyAlignment="1">
      <alignment horizontal="center" vertical="center" wrapText="1"/>
    </xf>
    <xf numFmtId="0" fontId="42" fillId="0" borderId="10" xfId="0" applyFont="1" applyBorder="1" applyAlignment="1">
      <alignment horizontal="center" vertical="center"/>
    </xf>
    <xf numFmtId="49" fontId="42" fillId="0" borderId="39" xfId="0" applyNumberFormat="1" applyFont="1" applyBorder="1" applyAlignment="1">
      <alignment horizontal="center" vertical="center"/>
    </xf>
    <xf numFmtId="49" fontId="42" fillId="0" borderId="63" xfId="0" applyNumberFormat="1" applyFont="1" applyBorder="1" applyAlignment="1">
      <alignment horizontal="center" vertical="center"/>
    </xf>
    <xf numFmtId="49" fontId="42" fillId="0" borderId="3" xfId="0" applyNumberFormat="1" applyFont="1" applyBorder="1" applyAlignment="1">
      <alignment horizontal="center" vertical="center"/>
    </xf>
    <xf numFmtId="49" fontId="42" fillId="0" borderId="64" xfId="0" applyNumberFormat="1" applyFont="1" applyBorder="1" applyAlignment="1">
      <alignment horizontal="center" vertical="center"/>
    </xf>
    <xf numFmtId="0" fontId="42" fillId="0" borderId="27" xfId="0" applyFont="1" applyBorder="1" applyAlignment="1">
      <alignment horizontal="center" vertical="center"/>
    </xf>
    <xf numFmtId="0" fontId="42" fillId="0" borderId="15" xfId="0" applyFont="1" applyBorder="1" applyAlignment="1">
      <alignment horizontal="center" vertical="center"/>
    </xf>
    <xf numFmtId="0" fontId="42" fillId="0" borderId="28" xfId="0" applyFont="1" applyBorder="1" applyAlignment="1">
      <alignment horizontal="center" vertical="center"/>
    </xf>
    <xf numFmtId="0" fontId="53" fillId="67" borderId="27" xfId="1018" applyNumberFormat="1" applyFont="1" applyFill="1" applyBorder="1" applyAlignment="1">
      <alignment horizontal="center" vertical="center"/>
    </xf>
    <xf numFmtId="0" fontId="53" fillId="67" borderId="15" xfId="1018" applyNumberFormat="1" applyFont="1" applyFill="1" applyBorder="1" applyAlignment="1">
      <alignment horizontal="center" vertical="center"/>
    </xf>
    <xf numFmtId="0" fontId="33" fillId="66" borderId="27" xfId="0" applyFont="1" applyFill="1" applyBorder="1" applyAlignment="1">
      <alignment horizontal="center" vertical="center"/>
    </xf>
    <xf numFmtId="0" fontId="33" fillId="66" borderId="15" xfId="0" applyFont="1" applyFill="1" applyBorder="1" applyAlignment="1">
      <alignment horizontal="center" vertical="center"/>
    </xf>
    <xf numFmtId="0" fontId="33" fillId="66" borderId="28" xfId="0" applyFont="1" applyFill="1" applyBorder="1" applyAlignment="1">
      <alignment horizontal="center" vertical="center"/>
    </xf>
    <xf numFmtId="0" fontId="33" fillId="66" borderId="10" xfId="0" applyFont="1" applyFill="1" applyBorder="1" applyAlignment="1">
      <alignment horizontal="center" vertical="center"/>
    </xf>
    <xf numFmtId="0" fontId="53" fillId="67" borderId="28" xfId="1018" applyNumberFormat="1" applyFont="1" applyFill="1" applyBorder="1" applyAlignment="1">
      <alignment horizontal="center" vertical="center"/>
    </xf>
    <xf numFmtId="231" fontId="5" fillId="67" borderId="27" xfId="1018" applyNumberFormat="1" applyFont="1" applyFill="1" applyBorder="1" applyAlignment="1">
      <alignment horizontal="center" vertical="center"/>
    </xf>
    <xf numFmtId="231" fontId="5" fillId="67" borderId="15" xfId="1018" applyNumberFormat="1" applyFont="1" applyFill="1" applyBorder="1" applyAlignment="1">
      <alignment horizontal="center" vertical="center"/>
    </xf>
    <xf numFmtId="231" fontId="5" fillId="67" borderId="46" xfId="1018" applyNumberFormat="1" applyFont="1" applyFill="1" applyBorder="1" applyAlignment="1">
      <alignment horizontal="center" vertical="center"/>
    </xf>
    <xf numFmtId="0" fontId="0" fillId="0" borderId="56" xfId="0" applyBorder="1" applyAlignment="1">
      <alignment horizontal="center" vertical="center" wrapText="1"/>
    </xf>
    <xf numFmtId="0" fontId="0" fillId="0" borderId="45" xfId="0" applyBorder="1" applyAlignment="1">
      <alignment horizontal="center" vertical="center" wrapText="1"/>
    </xf>
    <xf numFmtId="0" fontId="72" fillId="66" borderId="41" xfId="0" applyFont="1" applyFill="1" applyBorder="1" applyAlignment="1">
      <alignment horizontal="center" vertical="center" wrapText="1"/>
    </xf>
    <xf numFmtId="0" fontId="72" fillId="66" borderId="14" xfId="0" applyFont="1" applyFill="1" applyBorder="1" applyAlignment="1">
      <alignment horizontal="center" vertical="center" wrapText="1"/>
    </xf>
    <xf numFmtId="0" fontId="72" fillId="66" borderId="42" xfId="0" applyFont="1" applyFill="1" applyBorder="1" applyAlignment="1">
      <alignment horizontal="center" vertical="center" wrapText="1"/>
    </xf>
    <xf numFmtId="0" fontId="33" fillId="66" borderId="65" xfId="0" applyFont="1" applyFill="1" applyBorder="1" applyAlignment="1">
      <alignment horizontal="center" vertical="center"/>
    </xf>
    <xf numFmtId="0" fontId="33" fillId="66" borderId="22" xfId="0" applyFont="1" applyFill="1" applyBorder="1" applyAlignment="1">
      <alignment horizontal="center" vertical="center"/>
    </xf>
    <xf numFmtId="0" fontId="116" fillId="67" borderId="60" xfId="576" applyFont="1" applyFill="1" applyBorder="1" applyAlignment="1">
      <alignment horizontal="center" vertical="center"/>
    </xf>
    <xf numFmtId="0" fontId="116" fillId="67" borderId="39" xfId="576" applyFont="1" applyFill="1" applyBorder="1" applyAlignment="1">
      <alignment horizontal="center" vertical="center"/>
    </xf>
    <xf numFmtId="0" fontId="116" fillId="67" borderId="61" xfId="576" applyFont="1" applyFill="1" applyBorder="1" applyAlignment="1">
      <alignment horizontal="center" vertical="center"/>
    </xf>
    <xf numFmtId="0" fontId="116" fillId="67" borderId="0" xfId="576" applyFont="1" applyFill="1" applyAlignment="1">
      <alignment horizontal="center" vertical="center"/>
    </xf>
    <xf numFmtId="0" fontId="116" fillId="67" borderId="62" xfId="576" applyFont="1" applyFill="1" applyBorder="1" applyAlignment="1">
      <alignment horizontal="center" vertical="center"/>
    </xf>
    <xf numFmtId="0" fontId="116" fillId="67" borderId="3" xfId="576" applyFont="1" applyFill="1" applyBorder="1" applyAlignment="1">
      <alignment horizontal="center" vertical="center"/>
    </xf>
    <xf numFmtId="0" fontId="120" fillId="67" borderId="41" xfId="576" applyFont="1" applyFill="1" applyBorder="1" applyAlignment="1">
      <alignment horizontal="center"/>
    </xf>
    <xf numFmtId="0" fontId="120" fillId="67" borderId="14" xfId="576" applyFont="1" applyFill="1" applyBorder="1" applyAlignment="1">
      <alignment horizontal="center"/>
    </xf>
    <xf numFmtId="0" fontId="120" fillId="67" borderId="42" xfId="576" applyFont="1" applyFill="1" applyBorder="1" applyAlignment="1">
      <alignment horizontal="center"/>
    </xf>
    <xf numFmtId="231" fontId="33" fillId="67" borderId="14" xfId="1018" applyNumberFormat="1" applyFont="1" applyFill="1" applyBorder="1" applyAlignment="1">
      <alignment horizontal="center" vertical="center"/>
    </xf>
    <xf numFmtId="231" fontId="33" fillId="67" borderId="42" xfId="1018" applyNumberFormat="1" applyFont="1" applyFill="1" applyBorder="1" applyAlignment="1">
      <alignment horizontal="center" vertical="center"/>
    </xf>
    <xf numFmtId="231" fontId="5" fillId="67" borderId="38" xfId="1018" applyNumberFormat="1" applyFont="1" applyFill="1" applyBorder="1" applyAlignment="1">
      <alignment horizontal="center" vertical="center"/>
    </xf>
    <xf numFmtId="231" fontId="5" fillId="67" borderId="39" xfId="1018" applyNumberFormat="1" applyFont="1" applyFill="1" applyBorder="1" applyAlignment="1">
      <alignment horizontal="center" vertical="center"/>
    </xf>
    <xf numFmtId="231" fontId="5" fillId="67" borderId="63" xfId="1018" applyNumberFormat="1" applyFont="1" applyFill="1" applyBorder="1" applyAlignment="1">
      <alignment horizontal="center" vertical="center"/>
    </xf>
    <xf numFmtId="0" fontId="121" fillId="0" borderId="60" xfId="576" applyFont="1" applyBorder="1" applyAlignment="1">
      <alignment horizontal="center" vertical="center" textRotation="90" wrapText="1"/>
    </xf>
    <xf numFmtId="0" fontId="121" fillId="0" borderId="39" xfId="576" applyFont="1" applyBorder="1" applyAlignment="1">
      <alignment horizontal="center" vertical="center" textRotation="90"/>
    </xf>
    <xf numFmtId="0" fontId="121" fillId="0" borderId="44" xfId="576" applyFont="1" applyBorder="1" applyAlignment="1">
      <alignment horizontal="center" vertical="center" textRotation="90"/>
    </xf>
    <xf numFmtId="0" fontId="121" fillId="0" borderId="61" xfId="576" applyFont="1" applyBorder="1" applyAlignment="1">
      <alignment horizontal="center" vertical="center" textRotation="90"/>
    </xf>
    <xf numFmtId="0" fontId="121" fillId="0" borderId="0" xfId="576" applyFont="1" applyAlignment="1">
      <alignment horizontal="center" vertical="center" textRotation="90"/>
    </xf>
    <xf numFmtId="0" fontId="121" fillId="0" borderId="12" xfId="576" applyFont="1" applyBorder="1" applyAlignment="1">
      <alignment horizontal="center" vertical="center" textRotation="90"/>
    </xf>
    <xf numFmtId="0" fontId="121" fillId="0" borderId="62" xfId="576" applyFont="1" applyBorder="1" applyAlignment="1">
      <alignment horizontal="center" vertical="center" textRotation="90"/>
    </xf>
    <xf numFmtId="0" fontId="121" fillId="0" borderId="3" xfId="576" applyFont="1" applyBorder="1" applyAlignment="1">
      <alignment horizontal="center" vertical="center" textRotation="90"/>
    </xf>
    <xf numFmtId="0" fontId="121" fillId="0" borderId="43" xfId="576" applyFont="1" applyBorder="1" applyAlignment="1">
      <alignment horizontal="center" vertical="center" textRotation="90"/>
    </xf>
    <xf numFmtId="0" fontId="121" fillId="0" borderId="60" xfId="576" applyFont="1" applyBorder="1" applyAlignment="1">
      <alignment horizontal="center" vertical="center" textRotation="90"/>
    </xf>
    <xf numFmtId="231" fontId="53" fillId="67" borderId="27" xfId="1018" applyNumberFormat="1" applyFont="1" applyFill="1" applyBorder="1" applyAlignment="1">
      <alignment horizontal="center" vertical="center"/>
    </xf>
    <xf numFmtId="231" fontId="53" fillId="67" borderId="15" xfId="1018" applyNumberFormat="1" applyFont="1" applyFill="1" applyBorder="1" applyAlignment="1">
      <alignment horizontal="center" vertical="center"/>
    </xf>
    <xf numFmtId="231" fontId="53" fillId="67" borderId="28" xfId="1018" applyNumberFormat="1" applyFont="1" applyFill="1" applyBorder="1" applyAlignment="1">
      <alignment horizontal="center" vertical="center"/>
    </xf>
    <xf numFmtId="0" fontId="53" fillId="67" borderId="10" xfId="1018" applyNumberFormat="1" applyFont="1" applyFill="1" applyBorder="1" applyAlignment="1">
      <alignment horizontal="center" vertical="center"/>
    </xf>
    <xf numFmtId="231" fontId="5" fillId="67" borderId="27" xfId="0" applyNumberFormat="1" applyFont="1" applyFill="1" applyBorder="1" applyAlignment="1">
      <alignment horizontal="center" vertical="center"/>
    </xf>
    <xf numFmtId="231" fontId="5" fillId="67" borderId="15" xfId="0" applyNumberFormat="1" applyFont="1" applyFill="1" applyBorder="1" applyAlignment="1">
      <alignment horizontal="center" vertical="center"/>
    </xf>
    <xf numFmtId="231" fontId="5" fillId="67" borderId="28" xfId="0" applyNumberFormat="1" applyFont="1" applyFill="1" applyBorder="1" applyAlignment="1">
      <alignment horizontal="center" vertical="center"/>
    </xf>
    <xf numFmtId="231" fontId="5" fillId="67" borderId="38" xfId="0" applyNumberFormat="1" applyFont="1" applyFill="1" applyBorder="1" applyAlignment="1">
      <alignment horizontal="center" vertical="center"/>
    </xf>
    <xf numFmtId="231" fontId="5" fillId="67" borderId="39" xfId="0" applyNumberFormat="1" applyFont="1" applyFill="1" applyBorder="1" applyAlignment="1">
      <alignment horizontal="center" vertical="center"/>
    </xf>
    <xf numFmtId="231" fontId="5" fillId="67" borderId="44" xfId="0" applyNumberFormat="1" applyFont="1" applyFill="1" applyBorder="1" applyAlignment="1">
      <alignment horizontal="center" vertical="center"/>
    </xf>
    <xf numFmtId="0" fontId="5" fillId="67" borderId="27" xfId="1018" applyNumberFormat="1" applyFont="1" applyFill="1" applyBorder="1" applyAlignment="1">
      <alignment horizontal="center" vertical="center"/>
    </xf>
    <xf numFmtId="0" fontId="5" fillId="67" borderId="15" xfId="1018" applyNumberFormat="1" applyFont="1" applyFill="1" applyBorder="1" applyAlignment="1">
      <alignment horizontal="center" vertical="center"/>
    </xf>
    <xf numFmtId="0" fontId="5" fillId="67" borderId="28" xfId="1018" applyNumberFormat="1" applyFont="1" applyFill="1" applyBorder="1" applyAlignment="1">
      <alignment horizontal="center" vertical="center"/>
    </xf>
    <xf numFmtId="0" fontId="5" fillId="67" borderId="10" xfId="1018" applyNumberFormat="1" applyFont="1" applyFill="1" applyBorder="1" applyAlignment="1">
      <alignment horizontal="center" vertical="center"/>
    </xf>
    <xf numFmtId="0" fontId="5" fillId="67" borderId="22" xfId="1018" applyNumberFormat="1" applyFont="1" applyFill="1" applyBorder="1" applyAlignment="1">
      <alignment horizontal="center" vertical="center"/>
    </xf>
    <xf numFmtId="0" fontId="121" fillId="0" borderId="27" xfId="576" applyFont="1" applyBorder="1" applyAlignment="1">
      <alignment horizontal="center" vertical="center"/>
    </xf>
    <xf numFmtId="0" fontId="121" fillId="0" borderId="15" xfId="576" applyFont="1" applyBorder="1" applyAlignment="1">
      <alignment horizontal="center" vertical="center"/>
    </xf>
    <xf numFmtId="0" fontId="121" fillId="0" borderId="28" xfId="576" applyFont="1" applyBorder="1" applyAlignment="1">
      <alignment horizontal="center" vertical="center"/>
    </xf>
    <xf numFmtId="0" fontId="33" fillId="66" borderId="46" xfId="0" applyFont="1" applyFill="1" applyBorder="1" applyAlignment="1">
      <alignment horizontal="center" vertical="center"/>
    </xf>
    <xf numFmtId="0" fontId="33" fillId="66" borderId="62" xfId="0" applyFont="1" applyFill="1" applyBorder="1" applyAlignment="1">
      <alignment horizontal="center" vertical="center"/>
    </xf>
    <xf numFmtId="0" fontId="33" fillId="66" borderId="3" xfId="0" applyFont="1" applyFill="1" applyBorder="1" applyAlignment="1">
      <alignment horizontal="center" vertical="center"/>
    </xf>
    <xf numFmtId="0" fontId="33" fillId="66" borderId="64" xfId="0" applyFont="1" applyFill="1" applyBorder="1" applyAlignment="1">
      <alignment horizontal="center" vertical="center"/>
    </xf>
    <xf numFmtId="1" fontId="53" fillId="67" borderId="27" xfId="1018" applyNumberFormat="1" applyFont="1" applyFill="1" applyBorder="1" applyAlignment="1">
      <alignment horizontal="center" vertical="center"/>
    </xf>
    <xf numFmtId="1" fontId="53" fillId="67" borderId="15" xfId="1018" applyNumberFormat="1" applyFont="1" applyFill="1" applyBorder="1" applyAlignment="1">
      <alignment horizontal="center" vertical="center"/>
    </xf>
    <xf numFmtId="1" fontId="53" fillId="67" borderId="28" xfId="1018" applyNumberFormat="1" applyFont="1" applyFill="1" applyBorder="1" applyAlignment="1">
      <alignment horizontal="center" vertical="center"/>
    </xf>
    <xf numFmtId="231" fontId="53" fillId="67" borderId="27" xfId="0" applyNumberFormat="1" applyFont="1" applyFill="1" applyBorder="1" applyAlignment="1">
      <alignment horizontal="center" vertical="center"/>
    </xf>
    <xf numFmtId="231" fontId="53" fillId="67" borderId="15" xfId="0" applyNumberFormat="1" applyFont="1" applyFill="1" applyBorder="1" applyAlignment="1">
      <alignment horizontal="center" vertical="center"/>
    </xf>
    <xf numFmtId="231" fontId="53" fillId="67" borderId="28" xfId="0" applyNumberFormat="1" applyFont="1" applyFill="1" applyBorder="1" applyAlignment="1">
      <alignment horizontal="center" vertical="center"/>
    </xf>
    <xf numFmtId="0" fontId="120" fillId="0" borderId="41" xfId="576" applyFont="1" applyBorder="1" applyAlignment="1">
      <alignment horizontal="center" vertical="center"/>
    </xf>
    <xf numFmtId="0" fontId="120" fillId="0" borderId="14" xfId="576" applyFont="1" applyBorder="1" applyAlignment="1">
      <alignment horizontal="center" vertical="center"/>
    </xf>
    <xf numFmtId="0" fontId="121" fillId="0" borderId="38" xfId="576" applyFont="1" applyBorder="1" applyAlignment="1">
      <alignment horizontal="center" vertical="center"/>
    </xf>
    <xf numFmtId="0" fontId="121" fillId="0" borderId="39" xfId="576" applyFont="1" applyBorder="1" applyAlignment="1">
      <alignment horizontal="center" vertical="center"/>
    </xf>
    <xf numFmtId="0" fontId="121" fillId="0" borderId="44" xfId="576" applyFont="1" applyBorder="1" applyAlignment="1">
      <alignment horizontal="center" vertical="center"/>
    </xf>
    <xf numFmtId="0" fontId="53" fillId="67" borderId="46" xfId="1018" applyNumberFormat="1" applyFont="1" applyFill="1" applyBorder="1" applyAlignment="1">
      <alignment horizontal="center" vertical="center"/>
    </xf>
    <xf numFmtId="0" fontId="33" fillId="66" borderId="57" xfId="0" applyFont="1" applyFill="1" applyBorder="1" applyAlignment="1">
      <alignment horizontal="center" vertical="center"/>
    </xf>
    <xf numFmtId="0" fontId="33" fillId="66" borderId="59" xfId="0" applyFont="1" applyFill="1" applyBorder="1" applyAlignment="1">
      <alignment horizontal="center" vertical="center"/>
    </xf>
    <xf numFmtId="0" fontId="53" fillId="67" borderId="38" xfId="1018" applyNumberFormat="1" applyFont="1" applyFill="1" applyBorder="1" applyAlignment="1">
      <alignment horizontal="center" vertical="center"/>
    </xf>
    <xf numFmtId="0" fontId="53" fillId="67" borderId="39" xfId="1018" applyNumberFormat="1" applyFont="1" applyFill="1" applyBorder="1" applyAlignment="1">
      <alignment horizontal="center" vertical="center"/>
    </xf>
    <xf numFmtId="0" fontId="53" fillId="67" borderId="63" xfId="1018" applyNumberFormat="1" applyFont="1" applyFill="1" applyBorder="1" applyAlignment="1">
      <alignment horizontal="center" vertical="center"/>
    </xf>
    <xf numFmtId="0" fontId="33" fillId="67" borderId="41" xfId="1018" applyNumberFormat="1" applyFont="1" applyFill="1" applyBorder="1" applyAlignment="1">
      <alignment horizontal="center" vertical="center"/>
    </xf>
    <xf numFmtId="0" fontId="33" fillId="67" borderId="14" xfId="1018" applyNumberFormat="1" applyFont="1" applyFill="1" applyBorder="1" applyAlignment="1">
      <alignment horizontal="center" vertical="center"/>
    </xf>
    <xf numFmtId="0" fontId="33" fillId="67" borderId="42" xfId="1018" applyNumberFormat="1" applyFont="1" applyFill="1" applyBorder="1" applyAlignment="1">
      <alignment horizontal="center" vertical="center"/>
    </xf>
    <xf numFmtId="0" fontId="42" fillId="0" borderId="57" xfId="0" applyFont="1" applyBorder="1" applyAlignment="1">
      <alignment horizontal="center" vertical="center"/>
    </xf>
    <xf numFmtId="0" fontId="42" fillId="0" borderId="40" xfId="0" applyFont="1" applyBorder="1" applyAlignment="1">
      <alignment horizontal="center" vertical="center"/>
    </xf>
    <xf numFmtId="0" fontId="42" fillId="0" borderId="3" xfId="0" applyFont="1" applyBorder="1" applyAlignment="1">
      <alignment horizontal="center" vertical="center"/>
    </xf>
    <xf numFmtId="0" fontId="42" fillId="0" borderId="43" xfId="0" applyFont="1" applyBorder="1" applyAlignment="1">
      <alignment horizontal="center" vertical="center"/>
    </xf>
    <xf numFmtId="0" fontId="2" fillId="0" borderId="71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0" fontId="2" fillId="0" borderId="72" xfId="0" applyFont="1" applyBorder="1" applyAlignment="1">
      <alignment horizontal="center" vertical="center"/>
    </xf>
    <xf numFmtId="0" fontId="42" fillId="67" borderId="57" xfId="0" applyFont="1" applyFill="1" applyBorder="1" applyAlignment="1">
      <alignment horizontal="center" vertical="center"/>
    </xf>
    <xf numFmtId="0" fontId="42" fillId="67" borderId="15" xfId="0" applyFont="1" applyFill="1" applyBorder="1" applyAlignment="1">
      <alignment horizontal="center" vertical="center"/>
    </xf>
    <xf numFmtId="0" fontId="42" fillId="67" borderId="28" xfId="0" applyFont="1" applyFill="1" applyBorder="1" applyAlignment="1">
      <alignment horizontal="center" vertical="center"/>
    </xf>
    <xf numFmtId="0" fontId="42" fillId="0" borderId="46" xfId="0" applyFont="1" applyBorder="1" applyAlignment="1">
      <alignment horizontal="center" vertical="center"/>
    </xf>
    <xf numFmtId="231" fontId="33" fillId="67" borderId="41" xfId="1018" applyNumberFormat="1" applyFont="1" applyFill="1" applyBorder="1" applyAlignment="1">
      <alignment horizontal="center" vertical="center"/>
    </xf>
    <xf numFmtId="0" fontId="42" fillId="0" borderId="27" xfId="0" applyFont="1" applyBorder="1" applyAlignment="1">
      <alignment horizontal="left" vertical="top"/>
    </xf>
    <xf numFmtId="0" fontId="42" fillId="0" borderId="15" xfId="0" applyFont="1" applyBorder="1" applyAlignment="1">
      <alignment horizontal="left" vertical="top"/>
    </xf>
    <xf numFmtId="0" fontId="42" fillId="0" borderId="46" xfId="0" applyFont="1" applyBorder="1" applyAlignment="1">
      <alignment horizontal="left" vertical="top"/>
    </xf>
    <xf numFmtId="0" fontId="33" fillId="66" borderId="58" xfId="0" applyFont="1" applyFill="1" applyBorder="1" applyAlignment="1">
      <alignment horizontal="center" vertical="center"/>
    </xf>
    <xf numFmtId="231" fontId="22" fillId="67" borderId="10" xfId="0" applyNumberFormat="1" applyFont="1" applyFill="1" applyBorder="1" applyAlignment="1">
      <alignment horizontal="center"/>
    </xf>
    <xf numFmtId="231" fontId="22" fillId="67" borderId="58" xfId="0" applyNumberFormat="1" applyFont="1" applyFill="1" applyBorder="1" applyAlignment="1">
      <alignment horizontal="center"/>
    </xf>
    <xf numFmtId="0" fontId="116" fillId="0" borderId="57" xfId="576" applyFont="1" applyBorder="1" applyAlignment="1">
      <alignment horizontal="center"/>
    </xf>
    <xf numFmtId="0" fontId="116" fillId="0" borderId="15" xfId="576" applyFont="1" applyBorder="1" applyAlignment="1">
      <alignment horizontal="center"/>
    </xf>
    <xf numFmtId="0" fontId="116" fillId="0" borderId="28" xfId="576" applyFont="1" applyBorder="1" applyAlignment="1">
      <alignment horizontal="center"/>
    </xf>
    <xf numFmtId="2" fontId="53" fillId="0" borderId="38" xfId="0" applyNumberFormat="1" applyFont="1" applyBorder="1" applyAlignment="1">
      <alignment horizontal="center" vertical="center"/>
    </xf>
    <xf numFmtId="2" fontId="53" fillId="0" borderId="39" xfId="0" applyNumberFormat="1" applyFont="1" applyBorder="1" applyAlignment="1">
      <alignment horizontal="center" vertical="center"/>
    </xf>
    <xf numFmtId="2" fontId="53" fillId="0" borderId="44" xfId="0" applyNumberFormat="1" applyFont="1" applyBorder="1" applyAlignment="1">
      <alignment horizontal="center" vertical="center"/>
    </xf>
    <xf numFmtId="231" fontId="53" fillId="0" borderId="22" xfId="0" applyNumberFormat="1" applyFont="1" applyBorder="1" applyAlignment="1">
      <alignment horizontal="center" vertical="center"/>
    </xf>
    <xf numFmtId="0" fontId="116" fillId="67" borderId="44" xfId="576" applyFont="1" applyFill="1" applyBorder="1" applyAlignment="1">
      <alignment horizontal="center" vertical="center"/>
    </xf>
    <xf numFmtId="0" fontId="3" fillId="66" borderId="10" xfId="0" applyFont="1" applyFill="1" applyBorder="1" applyAlignment="1">
      <alignment horizontal="center" vertical="center"/>
    </xf>
    <xf numFmtId="0" fontId="3" fillId="66" borderId="58" xfId="0" applyFont="1" applyFill="1" applyBorder="1" applyAlignment="1">
      <alignment horizontal="center" vertical="center"/>
    </xf>
    <xf numFmtId="0" fontId="3" fillId="66" borderId="57" xfId="0" applyFont="1" applyFill="1" applyBorder="1" applyAlignment="1">
      <alignment horizontal="center" vertical="center"/>
    </xf>
    <xf numFmtId="0" fontId="3" fillId="66" borderId="15" xfId="0" applyFont="1" applyFill="1" applyBorder="1" applyAlignment="1">
      <alignment horizontal="center" vertical="center"/>
    </xf>
    <xf numFmtId="0" fontId="3" fillId="66" borderId="28" xfId="0" applyFont="1" applyFill="1" applyBorder="1" applyAlignment="1">
      <alignment horizontal="center" vertical="center"/>
    </xf>
    <xf numFmtId="0" fontId="3" fillId="66" borderId="27" xfId="0" applyFont="1" applyFill="1" applyBorder="1" applyAlignment="1">
      <alignment horizontal="center" vertical="center"/>
    </xf>
    <xf numFmtId="0" fontId="116" fillId="0" borderId="60" xfId="576" applyFont="1" applyBorder="1" applyAlignment="1">
      <alignment horizontal="center"/>
    </xf>
    <xf numFmtId="0" fontId="116" fillId="0" borderId="39" xfId="576" applyFont="1" applyBorder="1" applyAlignment="1">
      <alignment horizontal="center"/>
    </xf>
    <xf numFmtId="0" fontId="116" fillId="0" borderId="44" xfId="576" applyFont="1" applyBorder="1" applyAlignment="1">
      <alignment horizontal="center"/>
    </xf>
    <xf numFmtId="0" fontId="3" fillId="66" borderId="46" xfId="0" applyFont="1" applyFill="1" applyBorder="1" applyAlignment="1">
      <alignment horizontal="center" vertical="center"/>
    </xf>
    <xf numFmtId="230" fontId="22" fillId="67" borderId="10" xfId="0" applyNumberFormat="1" applyFont="1" applyFill="1" applyBorder="1" applyAlignment="1">
      <alignment horizontal="center"/>
    </xf>
    <xf numFmtId="0" fontId="22" fillId="67" borderId="58" xfId="0" applyFont="1" applyFill="1" applyBorder="1" applyAlignment="1">
      <alignment horizontal="center"/>
    </xf>
    <xf numFmtId="0" fontId="5" fillId="0" borderId="67" xfId="0" applyFont="1" applyBorder="1" applyAlignment="1">
      <alignment horizontal="center" vertical="center" wrapText="1"/>
    </xf>
    <xf numFmtId="0" fontId="5" fillId="0" borderId="47" xfId="0" applyFont="1" applyBorder="1" applyAlignment="1">
      <alignment horizontal="center" vertical="center" wrapText="1"/>
    </xf>
    <xf numFmtId="0" fontId="5" fillId="0" borderId="68" xfId="0" applyFont="1" applyBorder="1" applyAlignment="1">
      <alignment horizontal="center" vertical="center" wrapText="1"/>
    </xf>
    <xf numFmtId="0" fontId="5" fillId="0" borderId="69" xfId="0" applyFont="1" applyBorder="1" applyAlignment="1">
      <alignment horizontal="center" vertical="center"/>
    </xf>
    <xf numFmtId="0" fontId="5" fillId="0" borderId="51" xfId="0" applyFont="1" applyBorder="1" applyAlignment="1">
      <alignment horizontal="center" vertical="center"/>
    </xf>
    <xf numFmtId="0" fontId="5" fillId="0" borderId="70" xfId="0" applyFont="1" applyBorder="1" applyAlignment="1">
      <alignment horizontal="center" vertical="center"/>
    </xf>
    <xf numFmtId="0" fontId="3" fillId="66" borderId="53" xfId="0" applyFont="1" applyFill="1" applyBorder="1" applyAlignment="1">
      <alignment horizontal="center" vertical="center"/>
    </xf>
    <xf numFmtId="0" fontId="3" fillId="66" borderId="50" xfId="0" applyFont="1" applyFill="1" applyBorder="1" applyAlignment="1">
      <alignment horizontal="center" vertical="center"/>
    </xf>
    <xf numFmtId="0" fontId="3" fillId="66" borderId="52" xfId="0" applyFont="1" applyFill="1" applyBorder="1" applyAlignment="1">
      <alignment horizontal="center" vertical="center"/>
    </xf>
    <xf numFmtId="0" fontId="22" fillId="0" borderId="67" xfId="0" applyFont="1" applyBorder="1" applyAlignment="1">
      <alignment horizontal="center" vertical="center" wrapText="1"/>
    </xf>
    <xf numFmtId="0" fontId="22" fillId="0" borderId="47" xfId="0" applyFont="1" applyBorder="1" applyAlignment="1">
      <alignment horizontal="center" vertical="center" wrapText="1"/>
    </xf>
    <xf numFmtId="0" fontId="22" fillId="0" borderId="68" xfId="0" applyFont="1" applyBorder="1" applyAlignment="1">
      <alignment horizontal="center" vertical="center" wrapText="1"/>
    </xf>
    <xf numFmtId="0" fontId="5" fillId="0" borderId="65" xfId="0" applyFont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0" fontId="5" fillId="0" borderId="66" xfId="0" applyFont="1" applyBorder="1" applyAlignment="1">
      <alignment horizontal="center" vertical="center"/>
    </xf>
    <xf numFmtId="0" fontId="3" fillId="66" borderId="41" xfId="0" applyFont="1" applyFill="1" applyBorder="1" applyAlignment="1">
      <alignment horizontal="center" vertical="center"/>
    </xf>
    <xf numFmtId="0" fontId="3" fillId="66" borderId="14" xfId="0" applyFont="1" applyFill="1" applyBorder="1" applyAlignment="1">
      <alignment horizontal="center" vertical="center"/>
    </xf>
    <xf numFmtId="0" fontId="3" fillId="66" borderId="42" xfId="0" applyFont="1" applyFill="1" applyBorder="1" applyAlignment="1">
      <alignment horizontal="center" vertical="center"/>
    </xf>
    <xf numFmtId="0" fontId="53" fillId="67" borderId="15" xfId="0" applyFont="1" applyFill="1" applyBorder="1" applyAlignment="1">
      <alignment horizontal="center" vertical="center"/>
    </xf>
    <xf numFmtId="0" fontId="53" fillId="67" borderId="28" xfId="0" applyFont="1" applyFill="1" applyBorder="1" applyAlignment="1">
      <alignment horizontal="center" vertical="center"/>
    </xf>
    <xf numFmtId="165" fontId="53" fillId="67" borderId="10" xfId="1018" applyFont="1" applyFill="1" applyBorder="1" applyAlignment="1">
      <alignment horizontal="center" vertical="center"/>
    </xf>
    <xf numFmtId="165" fontId="53" fillId="67" borderId="58" xfId="1018" applyFont="1" applyFill="1" applyBorder="1" applyAlignment="1">
      <alignment horizontal="center" vertical="center"/>
    </xf>
    <xf numFmtId="0" fontId="53" fillId="67" borderId="27" xfId="0" applyFont="1" applyFill="1" applyBorder="1" applyAlignment="1">
      <alignment horizontal="center" vertical="center"/>
    </xf>
    <xf numFmtId="0" fontId="3" fillId="66" borderId="65" xfId="0" applyFont="1" applyFill="1" applyBorder="1" applyAlignment="1">
      <alignment horizontal="center" vertical="center"/>
    </xf>
    <xf numFmtId="0" fontId="3" fillId="66" borderId="22" xfId="0" applyFont="1" applyFill="1" applyBorder="1" applyAlignment="1">
      <alignment horizontal="center" vertical="center"/>
    </xf>
    <xf numFmtId="232" fontId="53" fillId="67" borderId="22" xfId="0" applyNumberFormat="1" applyFont="1" applyFill="1" applyBorder="1" applyAlignment="1">
      <alignment horizontal="center" vertical="center"/>
    </xf>
    <xf numFmtId="232" fontId="53" fillId="67" borderId="66" xfId="0" applyNumberFormat="1" applyFont="1" applyFill="1" applyBorder="1" applyAlignment="1">
      <alignment horizontal="center" vertical="center"/>
    </xf>
    <xf numFmtId="0" fontId="120" fillId="67" borderId="48" xfId="576" applyFont="1" applyFill="1" applyBorder="1" applyAlignment="1">
      <alignment horizontal="center"/>
    </xf>
    <xf numFmtId="232" fontId="33" fillId="67" borderId="49" xfId="1018" applyNumberFormat="1" applyFont="1" applyFill="1" applyBorder="1" applyAlignment="1">
      <alignment horizontal="center" vertical="center"/>
    </xf>
    <xf numFmtId="0" fontId="42" fillId="0" borderId="41" xfId="0" applyFont="1" applyBorder="1" applyAlignment="1">
      <alignment horizontal="center" vertical="center"/>
    </xf>
    <xf numFmtId="0" fontId="42" fillId="0" borderId="14" xfId="0" applyFont="1" applyBorder="1" applyAlignment="1">
      <alignment horizontal="center" vertical="center"/>
    </xf>
    <xf numFmtId="0" fontId="42" fillId="0" borderId="42" xfId="0" applyFont="1" applyBorder="1" applyAlignment="1">
      <alignment horizontal="center" vertical="center"/>
    </xf>
    <xf numFmtId="165" fontId="42" fillId="0" borderId="48" xfId="0" applyNumberFormat="1" applyFont="1" applyBorder="1" applyAlignment="1">
      <alignment horizontal="center" vertical="center"/>
    </xf>
    <xf numFmtId="0" fontId="42" fillId="0" borderId="54" xfId="0" applyFont="1" applyBorder="1" applyAlignment="1">
      <alignment horizontal="center" vertical="center"/>
    </xf>
    <xf numFmtId="0" fontId="42" fillId="0" borderId="55" xfId="0" applyFont="1" applyBorder="1" applyAlignment="1">
      <alignment horizontal="center" vertical="center"/>
    </xf>
    <xf numFmtId="232" fontId="53" fillId="67" borderId="27" xfId="1018" applyNumberFormat="1" applyFont="1" applyFill="1" applyBorder="1" applyAlignment="1">
      <alignment horizontal="center" vertical="center"/>
    </xf>
    <xf numFmtId="232" fontId="53" fillId="67" borderId="15" xfId="1018" applyNumberFormat="1" applyFont="1" applyFill="1" applyBorder="1" applyAlignment="1">
      <alignment horizontal="center" vertical="center"/>
    </xf>
    <xf numFmtId="232" fontId="53" fillId="67" borderId="28" xfId="1018" applyNumberFormat="1" applyFont="1" applyFill="1" applyBorder="1" applyAlignment="1">
      <alignment horizontal="center" vertical="center"/>
    </xf>
  </cellXfs>
  <cellStyles count="1019">
    <cellStyle name="$10d0" xfId="1" xr:uid="{00000000-0005-0000-0000-000000000000}"/>
    <cellStyle name="$10d1" xfId="2" xr:uid="{00000000-0005-0000-0000-000001000000}"/>
    <cellStyle name="$10d2" xfId="3" xr:uid="{00000000-0005-0000-0000-000002000000}"/>
    <cellStyle name="$FRACTION" xfId="4" xr:uid="{00000000-0005-0000-0000-000003000000}"/>
    <cellStyle name="?" xfId="5" xr:uid="{00000000-0005-0000-0000-000004000000}"/>
    <cellStyle name="_%(SignOnly)" xfId="6" xr:uid="{00000000-0005-0000-0000-000005000000}"/>
    <cellStyle name="_%(SignOnly) 2" xfId="7" xr:uid="{00000000-0005-0000-0000-000006000000}"/>
    <cellStyle name="_%(SignSpaceOnly)" xfId="8" xr:uid="{00000000-0005-0000-0000-000007000000}"/>
    <cellStyle name="_%(SignSpaceOnly) 2" xfId="9" xr:uid="{00000000-0005-0000-0000-000008000000}"/>
    <cellStyle name="_11.15.06 - 2007 OP COE DB 110606" xfId="10" xr:uid="{00000000-0005-0000-0000-000009000000}"/>
    <cellStyle name="_11.15.06 - 2007 OP COE DB 110606 2" xfId="11" xr:uid="{00000000-0005-0000-0000-00000A000000}"/>
    <cellStyle name="_1Q Actuals" xfId="12" xr:uid="{00000000-0005-0000-0000-00000B000000}"/>
    <cellStyle name="_2009 OP Plan - Corporate Assumptions (2)" xfId="13" xr:uid="{00000000-0005-0000-0000-00000C000000}"/>
    <cellStyle name="_2009 OP Plan - Corporate Assumptions (4)" xfId="14" xr:uid="{00000000-0005-0000-0000-00000D000000}"/>
    <cellStyle name="_2009 Shop Stat OP Dec 17 2008_APME" xfId="15" xr:uid="{00000000-0005-0000-0000-00000E000000}"/>
    <cellStyle name="_2009 Shop Stat OP Dec 17 2008_APME 2" xfId="16" xr:uid="{00000000-0005-0000-0000-00000F000000}"/>
    <cellStyle name="_2009-2008 CM Mix walk  Backlog_To Go_V5" xfId="17" xr:uid="{00000000-0005-0000-0000-000010000000}"/>
    <cellStyle name="_APA" xfId="18" xr:uid="{00000000-0005-0000-0000-000011000000}"/>
    <cellStyle name="_APA 2" xfId="19" xr:uid="{00000000-0005-0000-0000-000012000000}"/>
    <cellStyle name="_APA 2009 OP Hyperion (2)" xfId="20" xr:uid="{00000000-0005-0000-0000-000013000000}"/>
    <cellStyle name="_APA 2009 OP Hyperion (2) 2" xfId="21" xr:uid="{00000000-0005-0000-0000-000014000000}"/>
    <cellStyle name="_APA Oct YTD_Essbase" xfId="22" xr:uid="{00000000-0005-0000-0000-000015000000}"/>
    <cellStyle name="_APME_MFG Variable_OP_ 090123_Re_Submission" xfId="23" xr:uid="{00000000-0005-0000-0000-000016000000}"/>
    <cellStyle name="_Backlog Rollout Q109_Total Vetco_Final" xfId="24" xr:uid="{00000000-0005-0000-0000-000017000000}"/>
    <cellStyle name="_Backlog Rollout Q109_Total Vetco_Final 2" xfId="25" xr:uid="{00000000-0005-0000-0000-000018000000}"/>
    <cellStyle name="_Billing Database" xfId="26" xr:uid="{00000000-0005-0000-0000-000019000000}"/>
    <cellStyle name="_Billing Database 2" xfId="27" xr:uid="{00000000-0005-0000-0000-00001A000000}"/>
    <cellStyle name="_BRAZIL Functional Cost Op Plan Template_Rev3_" xfId="28" xr:uid="{00000000-0005-0000-0000-00001B000000}"/>
    <cellStyle name="_BRAZIL Functional Cost Op Plan Template_SUMMARY_" xfId="29" xr:uid="{00000000-0005-0000-0000-00001C000000}"/>
    <cellStyle name="_BRAZIL ORDERS DETAILS 2009 REV B_ March 09" xfId="30" xr:uid="{00000000-0005-0000-0000-00001D000000}"/>
    <cellStyle name="_BRAZIL ORDERS DETAILS 2009 REV B_ March 09 2" xfId="31" xr:uid="{00000000-0005-0000-0000-00001E000000}"/>
    <cellStyle name="_BRAZIL ORDERS DETAILS 2010 YTD" xfId="32" xr:uid="{00000000-0005-0000-0000-00001F000000}"/>
    <cellStyle name="_Canada" xfId="33" xr:uid="{00000000-0005-0000-0000-000020000000}"/>
    <cellStyle name="_Canada 2" xfId="34" xr:uid="{00000000-0005-0000-0000-000021000000}"/>
    <cellStyle name="_CASH_Master_FW06 2010" xfId="35" xr:uid="{00000000-0005-0000-0000-000022000000}"/>
    <cellStyle name="_CASH_Master_FW06 2010 2" xfId="36" xr:uid="{00000000-0005-0000-0000-000023000000}"/>
    <cellStyle name="_Cash_Master_FW9.1" xfId="37" xr:uid="{00000000-0005-0000-0000-000024000000}"/>
    <cellStyle name="_Cash_Master_FW9.1 2" xfId="38" xr:uid="{00000000-0005-0000-0000-000025000000}"/>
    <cellStyle name="_CDE OP Plan_BGTPivot" xfId="39" xr:uid="{00000000-0005-0000-0000-000026000000}"/>
    <cellStyle name="_CDE OP Plan_BGTPivot 2" xfId="40" xr:uid="{00000000-0005-0000-0000-000027000000}"/>
    <cellStyle name="_Comma" xfId="41" xr:uid="{00000000-0005-0000-0000-000028000000}"/>
    <cellStyle name="_Comma 2" xfId="42" xr:uid="{00000000-0005-0000-0000-000029000000}"/>
    <cellStyle name="_Copy of BRZ Weekly Report Dec 2nd" xfId="43" xr:uid="{00000000-0005-0000-0000-00002A000000}"/>
    <cellStyle name="_Copy of BRZ Weekly Report Dec 2nd 2" xfId="44" xr:uid="{00000000-0005-0000-0000-00002B000000}"/>
    <cellStyle name="_Copy of Canada Summary (trasnlated to USD)" xfId="45" xr:uid="{00000000-0005-0000-0000-00002C000000}"/>
    <cellStyle name="_Currency" xfId="46" xr:uid="{00000000-0005-0000-0000-00002D000000}"/>
    <cellStyle name="_Currency 2" xfId="47" xr:uid="{00000000-0005-0000-0000-00002E000000}"/>
    <cellStyle name="_CurrencySpace" xfId="48" xr:uid="{00000000-0005-0000-0000-00002F000000}"/>
    <cellStyle name="_CurrencySpace 2" xfId="49" xr:uid="{00000000-0005-0000-0000-000030000000}"/>
    <cellStyle name="_Data Expenses with Hyperion All other functions v2" xfId="50" xr:uid="{00000000-0005-0000-0000-000031000000}"/>
    <cellStyle name="_Data Expenses with Hyperion All other functions v2 2" xfId="51" xr:uid="{00000000-0005-0000-0000-000032000000}"/>
    <cellStyle name="_Data Expenses with Hyperion Manufacturingv2" xfId="52" xr:uid="{00000000-0005-0000-0000-000033000000}"/>
    <cellStyle name="_Data Expenses with Hyperion Manufacturingv2 2" xfId="53" xr:uid="{00000000-0005-0000-0000-000034000000}"/>
    <cellStyle name="_December Estimate" xfId="54" xr:uid="{00000000-0005-0000-0000-000035000000}"/>
    <cellStyle name="_December Estimate 2" xfId="55" xr:uid="{00000000-0005-0000-0000-000036000000}"/>
    <cellStyle name="_DR1_2Q09 FINAL" xfId="56" xr:uid="{00000000-0005-0000-0000-000037000000}"/>
    <cellStyle name="_DR1_May Submission COGNOS_Final" xfId="57" xr:uid="{00000000-0005-0000-0000-000038000000}"/>
    <cellStyle name="_DR1_May Submission COGNOS_Final 2" xfId="58" xr:uid="{00000000-0005-0000-0000-000039000000}"/>
    <cellStyle name="_EC COE DB 2007_2006 8Dec2006 for Op Plan Charts" xfId="59" xr:uid="{00000000-0005-0000-0000-00003A000000}"/>
    <cellStyle name="_EC COE DB 2007_2006 8Dec2006 for Op Plan Charts 2" xfId="60" xr:uid="{00000000-0005-0000-0000-00003B000000}"/>
    <cellStyle name="_Euro" xfId="61" xr:uid="{00000000-0005-0000-0000-00003C000000}"/>
    <cellStyle name="_Euro 2" xfId="62" xr:uid="{00000000-0005-0000-0000-00003D000000}"/>
    <cellStyle name="_Final 09OP v. Actual_working file" xfId="63" xr:uid="{00000000-0005-0000-0000-00003E000000}"/>
    <cellStyle name="_Functional Cost Op Plan 09 Norway Re-submission" xfId="64" xr:uid="{00000000-0005-0000-0000-00003F000000}"/>
    <cellStyle name="_Functional Cost Op Plan Summary Asia" xfId="65" xr:uid="{00000000-0005-0000-0000-000040000000}"/>
    <cellStyle name="_Functional Cost Op Plan Template  - HQ SUMMARY" xfId="66" xr:uid="{00000000-0005-0000-0000-000041000000}"/>
    <cellStyle name="_Functional Cost Op Plan Template Argentina" xfId="67" xr:uid="{00000000-0005-0000-0000-000042000000}"/>
    <cellStyle name="_Functional Cost Op Plan Template_01.22.09" xfId="68" xr:uid="{00000000-0005-0000-0000-000043000000}"/>
    <cellStyle name="_Functional Cost Op Plan Template_Rev3_01.23.09" xfId="69" xr:uid="{00000000-0005-0000-0000-000044000000}"/>
    <cellStyle name="_Functional Cost Op Plan Template_Rev4_01.23.09" xfId="70" xr:uid="{00000000-0005-0000-0000-000045000000}"/>
    <cellStyle name="_Functional Cost Op Plan Template_Rev7_01.28.09" xfId="71" xr:uid="{00000000-0005-0000-0000-000046000000}"/>
    <cellStyle name="_Functional Cost Op Plan VG Inc US FY09 1 20 08" xfId="72" xr:uid="{00000000-0005-0000-0000-000047000000}"/>
    <cellStyle name="_Functional Cost Op Plan VG Inc US FY09 Summary" xfId="73" xr:uid="{00000000-0005-0000-0000-000048000000}"/>
    <cellStyle name="_Functional Cost Op Plan VG Mex FY09 Summary" xfId="74" xr:uid="{00000000-0005-0000-0000-000049000000}"/>
    <cellStyle name="_Functional Cost Op Plan VG Mex V6 16Jan09" xfId="75" xr:uid="{00000000-0005-0000-0000-00004A000000}"/>
    <cellStyle name="_Functional Cost Op Plan VG Mex V7 28Jan09" xfId="76" xr:uid="{00000000-0005-0000-0000-00004B000000}"/>
    <cellStyle name="_GEN II to GEN III cable cost compare " xfId="77" xr:uid="{00000000-0005-0000-0000-00004C000000}"/>
    <cellStyle name="_Heading" xfId="78" xr:uid="{00000000-0005-0000-0000-00004D000000}"/>
    <cellStyle name="_Highlight" xfId="79" xr:uid="{00000000-0005-0000-0000-00004E000000}"/>
    <cellStyle name="_Highlight 2" xfId="80" xr:uid="{00000000-0005-0000-0000-00004F000000}"/>
    <cellStyle name="_HQ Summary" xfId="81" xr:uid="{00000000-0005-0000-0000-000050000000}"/>
    <cellStyle name="_HQ Summary 2" xfId="82" xr:uid="{00000000-0005-0000-0000-000051000000}"/>
    <cellStyle name="_HR Revised Report VG 07-03-08 rev13 DET (2)" xfId="83" xr:uid="{00000000-0005-0000-0000-000052000000}"/>
    <cellStyle name="_Hyperion Consolidated_ final tie-out_Feb 06" xfId="84" xr:uid="{00000000-0005-0000-0000-000053000000}"/>
    <cellStyle name="_Inventory by Site -August 2008" xfId="85" xr:uid="{00000000-0005-0000-0000-000054000000}"/>
    <cellStyle name="_Inventory by Site -August 2008 2" xfId="86" xr:uid="{00000000-0005-0000-0000-000055000000}"/>
    <cellStyle name="_Land&amp;Offshore" xfId="87" xr:uid="{00000000-0005-0000-0000-000056000000}"/>
    <cellStyle name="_Land&amp;Offshore 2" xfId="88" xr:uid="{00000000-0005-0000-0000-000057000000}"/>
    <cellStyle name="_L'Heureux 2006-2007 working" xfId="89" xr:uid="{00000000-0005-0000-0000-000058000000}"/>
    <cellStyle name="_Manufacturing HFM Argentina OP 2009 sent (2)" xfId="90" xr:uid="{00000000-0005-0000-0000-000059000000}"/>
    <cellStyle name="_Manufacturing HFM OP 2009" xfId="91" xr:uid="{00000000-0005-0000-0000-00005A000000}"/>
    <cellStyle name="_Manufacturing_CB Avg" xfId="92" xr:uid="{00000000-0005-0000-0000-00005B000000}"/>
    <cellStyle name="_MFG" xfId="93" xr:uid="{00000000-0005-0000-0000-00005C000000}"/>
    <cellStyle name="_MFG 2" xfId="94" xr:uid="{00000000-0005-0000-0000-00005D000000}"/>
    <cellStyle name="_Multiple" xfId="95" xr:uid="{00000000-0005-0000-0000-00005E000000}"/>
    <cellStyle name="_Multiple 2" xfId="96" xr:uid="{00000000-0005-0000-0000-00005F000000}"/>
    <cellStyle name="_MultipleSpace" xfId="97" xr:uid="{00000000-0005-0000-0000-000060000000}"/>
    <cellStyle name="_MultipleSpace 2" xfId="98" xr:uid="{00000000-0005-0000-0000-000061000000}"/>
    <cellStyle name="_Order Backlog Report" xfId="99" xr:uid="{00000000-0005-0000-0000-000062000000}"/>
    <cellStyle name="_Orders Walk - Q4 - FW 41 - 5Oct09" xfId="100" xr:uid="{00000000-0005-0000-0000-000063000000}"/>
    <cellStyle name="_Orders Walk - Q4 - FW 46 - LAM Updated - 6 Nov 2009 (2)" xfId="101" xr:uid="{00000000-0005-0000-0000-000064000000}"/>
    <cellStyle name="_P&amp;L_Brazil" xfId="102" xr:uid="{00000000-0005-0000-0000-000065000000}"/>
    <cellStyle name="_P&amp;L_Brazil 2" xfId="103" xr:uid="{00000000-0005-0000-0000-000066000000}"/>
    <cellStyle name="_PCSNL forecast Feb to q4 2009 with NGN-USD SPlit" xfId="104" xr:uid="{00000000-0005-0000-0000-000067000000}"/>
    <cellStyle name="_PCSNL forecast Feb to q4 2009 with NGN-USD SPlit 2" xfId="105" xr:uid="{00000000-0005-0000-0000-000068000000}"/>
    <cellStyle name="_Pivot" xfId="106" xr:uid="{00000000-0005-0000-0000-000069000000}"/>
    <cellStyle name="_Pivot 2" xfId="107" xr:uid="{00000000-0005-0000-0000-00006A000000}"/>
    <cellStyle name="_Q1 SDS Faturamento 12 Jan IOC-BR" xfId="108" xr:uid="{00000000-0005-0000-0000-00006B000000}"/>
    <cellStyle name="_Q1 SDS Faturamento 12 Jan IOC-BR 2" xfId="109" xr:uid="{00000000-0005-0000-0000-00006C000000}"/>
    <cellStyle name="_Regional Template Consolidated v9 (w 08 Act, 09 RU,Tgt)" xfId="110" xr:uid="{00000000-0005-0000-0000-00006D000000}"/>
    <cellStyle name="_Regional Template Consolidated v9 (w 08 Act, 09 RU,Tgt) 2" xfId="111" xr:uid="{00000000-0005-0000-0000-00006E000000}"/>
    <cellStyle name="_Sales  DCM by Dest and PMS" xfId="112" xr:uid="{00000000-0005-0000-0000-00006F000000}"/>
    <cellStyle name="_Sheet1" xfId="113" xr:uid="{00000000-0005-0000-0000-000070000000}"/>
    <cellStyle name="_Sheet1 2" xfId="114" xr:uid="{00000000-0005-0000-0000-000071000000}"/>
    <cellStyle name="_Sheet1_1" xfId="115" xr:uid="{00000000-0005-0000-0000-000072000000}"/>
    <cellStyle name="_Sheet1_1 2" xfId="116" xr:uid="{00000000-0005-0000-0000-000073000000}"/>
    <cellStyle name="_SII - DMP Input Data Master" xfId="117" xr:uid="{00000000-0005-0000-0000-000074000000}"/>
    <cellStyle name="_SII - GCL Input Data Masterv2" xfId="118" xr:uid="{00000000-0005-0000-0000-000075000000}"/>
    <cellStyle name="_sing 2009 (2)" xfId="119" xr:uid="{00000000-0005-0000-0000-000076000000}"/>
    <cellStyle name="_sing 2009 (2) 2" xfId="120" xr:uid="{00000000-0005-0000-0000-000077000000}"/>
    <cellStyle name="_Sourcing Consolidated OP_012209 (2)" xfId="121" xr:uid="{00000000-0005-0000-0000-000078000000}"/>
    <cellStyle name="_Sourcing_01 20" xfId="122" xr:uid="{00000000-0005-0000-0000-000079000000}"/>
    <cellStyle name="_Sourcing_CB Avg" xfId="123" xr:uid="{00000000-0005-0000-0000-00007A000000}"/>
    <cellStyle name="_SubHeading" xfId="124" xr:uid="{00000000-0005-0000-0000-00007B000000}"/>
    <cellStyle name="_Subsea Backlog Roll-up summary" xfId="125" xr:uid="{00000000-0005-0000-0000-00007C000000}"/>
    <cellStyle name="_Subsea Backlog Roll-up summary 2" xfId="126" xr:uid="{00000000-0005-0000-0000-00007D000000}"/>
    <cellStyle name="_Subsea OP Plan_BGTPivot" xfId="127" xr:uid="{00000000-0005-0000-0000-00007E000000}"/>
    <cellStyle name="_Subsea OP Plan_BGTPivot 2" xfId="128" xr:uid="{00000000-0005-0000-0000-00007F000000}"/>
    <cellStyle name="_SummaryofWindEuropeAsiaProject1" xfId="129" xr:uid="{00000000-0005-0000-0000-000080000000}"/>
    <cellStyle name="_Table" xfId="130" xr:uid="{00000000-0005-0000-0000-000081000000}"/>
    <cellStyle name="_TableHead" xfId="131" xr:uid="{00000000-0005-0000-0000-000082000000}"/>
    <cellStyle name="_TableRowHead" xfId="132" xr:uid="{00000000-0005-0000-0000-000083000000}"/>
    <cellStyle name="_TableSuperHead" xfId="133" xr:uid="{00000000-0005-0000-0000-000084000000}"/>
    <cellStyle name="_Total Summary" xfId="134" xr:uid="{00000000-0005-0000-0000-000085000000}"/>
    <cellStyle name="_Total Summary 2" xfId="135" xr:uid="{00000000-0005-0000-0000-000086000000}"/>
    <cellStyle name="_Total VG" xfId="136" xr:uid="{00000000-0005-0000-0000-000087000000}"/>
    <cellStyle name="_Venezuela Functional Cost Op Plan Template v2a" xfId="137" xr:uid="{00000000-0005-0000-0000-000088000000}"/>
    <cellStyle name="_Venezuela Functional Cost Op Plan Template v3" xfId="138" xr:uid="{00000000-0005-0000-0000-000089000000}"/>
    <cellStyle name="_VG Controls UK Functional Cost Estimate v6a" xfId="139" xr:uid="{00000000-0005-0000-0000-00008A000000}"/>
    <cellStyle name="_VG UK Functional Cost Estimate V2a" xfId="140" xr:uid="{00000000-0005-0000-0000-00008B000000}"/>
    <cellStyle name="_Weekly Update México Feb 27 2009 old template" xfId="141" xr:uid="{00000000-0005-0000-0000-00008C000000}"/>
    <cellStyle name="_Weekly Update México Feb 27 2009 old template 2" xfId="142" xr:uid="{00000000-0005-0000-0000-00008D000000}"/>
    <cellStyle name="0,0_x000d__x000a_NA_x000d__x000a_" xfId="143" xr:uid="{00000000-0005-0000-0000-00008E000000}"/>
    <cellStyle name="1_dec place" xfId="144" xr:uid="{00000000-0005-0000-0000-00008F000000}"/>
    <cellStyle name="10d0" xfId="145" xr:uid="{00000000-0005-0000-0000-000090000000}"/>
    <cellStyle name="10d1" xfId="146" xr:uid="{00000000-0005-0000-0000-000091000000}"/>
    <cellStyle name="10d2" xfId="147" xr:uid="{00000000-0005-0000-0000-000092000000}"/>
    <cellStyle name="2_dec place" xfId="148" xr:uid="{00000000-0005-0000-0000-000093000000}"/>
    <cellStyle name="20% - Accent1 2" xfId="149" xr:uid="{00000000-0005-0000-0000-000094000000}"/>
    <cellStyle name="20% - Accent1 2 2" xfId="837" xr:uid="{00000000-0005-0000-0000-000095000000}"/>
    <cellStyle name="20% - Accent2 2" xfId="150" xr:uid="{00000000-0005-0000-0000-000096000000}"/>
    <cellStyle name="20% - Accent2 2 2" xfId="838" xr:uid="{00000000-0005-0000-0000-000097000000}"/>
    <cellStyle name="20% - Accent3 2" xfId="151" xr:uid="{00000000-0005-0000-0000-000098000000}"/>
    <cellStyle name="20% - Accent3 2 2" xfId="839" xr:uid="{00000000-0005-0000-0000-000099000000}"/>
    <cellStyle name="20% - Accent4 2" xfId="152" xr:uid="{00000000-0005-0000-0000-00009A000000}"/>
    <cellStyle name="20% - Accent4 2 2" xfId="840" xr:uid="{00000000-0005-0000-0000-00009B000000}"/>
    <cellStyle name="20% - Accent5 2" xfId="153" xr:uid="{00000000-0005-0000-0000-00009C000000}"/>
    <cellStyle name="20% - Accent5 2 2" xfId="841" xr:uid="{00000000-0005-0000-0000-00009D000000}"/>
    <cellStyle name="20% - Accent6 2" xfId="154" xr:uid="{00000000-0005-0000-0000-00009E000000}"/>
    <cellStyle name="20% - Accent6 2 2" xfId="842" xr:uid="{00000000-0005-0000-0000-00009F000000}"/>
    <cellStyle name="20% - Ênfase1 2" xfId="155" xr:uid="{00000000-0005-0000-0000-0000A0000000}"/>
    <cellStyle name="20% - Ênfase2 2" xfId="156" xr:uid="{00000000-0005-0000-0000-0000A1000000}"/>
    <cellStyle name="20% - Ênfase3 2" xfId="157" xr:uid="{00000000-0005-0000-0000-0000A2000000}"/>
    <cellStyle name="20% - Ênfase4 2" xfId="158" xr:uid="{00000000-0005-0000-0000-0000A3000000}"/>
    <cellStyle name="20% - Ênfase5 2" xfId="159" xr:uid="{00000000-0005-0000-0000-0000A4000000}"/>
    <cellStyle name="20% - Ênfase6 2" xfId="160" xr:uid="{00000000-0005-0000-0000-0000A5000000}"/>
    <cellStyle name="20% - Énfasis1" xfId="161" xr:uid="{00000000-0005-0000-0000-0000A6000000}"/>
    <cellStyle name="20% - Énfasis2" xfId="162" xr:uid="{00000000-0005-0000-0000-0000A7000000}"/>
    <cellStyle name="20% - Énfasis3" xfId="163" xr:uid="{00000000-0005-0000-0000-0000A8000000}"/>
    <cellStyle name="20% - Énfasis4" xfId="164" xr:uid="{00000000-0005-0000-0000-0000A9000000}"/>
    <cellStyle name="20% - Énfasis5" xfId="165" xr:uid="{00000000-0005-0000-0000-0000AA000000}"/>
    <cellStyle name="20% - Énfasis6" xfId="166" xr:uid="{00000000-0005-0000-0000-0000AB000000}"/>
    <cellStyle name="40% - Accent1 2" xfId="167" xr:uid="{00000000-0005-0000-0000-0000AC000000}"/>
    <cellStyle name="40% - Accent1 2 2" xfId="843" xr:uid="{00000000-0005-0000-0000-0000AD000000}"/>
    <cellStyle name="40% - Accent2 2" xfId="168" xr:uid="{00000000-0005-0000-0000-0000AE000000}"/>
    <cellStyle name="40% - Accent2 2 2" xfId="844" xr:uid="{00000000-0005-0000-0000-0000AF000000}"/>
    <cellStyle name="40% - Accent3 2" xfId="169" xr:uid="{00000000-0005-0000-0000-0000B0000000}"/>
    <cellStyle name="40% - Accent3 2 2" xfId="845" xr:uid="{00000000-0005-0000-0000-0000B1000000}"/>
    <cellStyle name="40% - Accent4 2" xfId="170" xr:uid="{00000000-0005-0000-0000-0000B2000000}"/>
    <cellStyle name="40% - Accent4 2 2" xfId="846" xr:uid="{00000000-0005-0000-0000-0000B3000000}"/>
    <cellStyle name="40% - Accent5 2" xfId="171" xr:uid="{00000000-0005-0000-0000-0000B4000000}"/>
    <cellStyle name="40% - Accent5 2 2" xfId="847" xr:uid="{00000000-0005-0000-0000-0000B5000000}"/>
    <cellStyle name="40% - Accent6 2" xfId="172" xr:uid="{00000000-0005-0000-0000-0000B6000000}"/>
    <cellStyle name="40% - Accent6 2 2" xfId="848" xr:uid="{00000000-0005-0000-0000-0000B7000000}"/>
    <cellStyle name="40% - Ênfase1 2" xfId="173" xr:uid="{00000000-0005-0000-0000-0000B8000000}"/>
    <cellStyle name="40% - Ênfase2 2" xfId="174" xr:uid="{00000000-0005-0000-0000-0000B9000000}"/>
    <cellStyle name="40% - Ênfase3 2" xfId="175" xr:uid="{00000000-0005-0000-0000-0000BA000000}"/>
    <cellStyle name="40% - Ênfase4 2" xfId="176" xr:uid="{00000000-0005-0000-0000-0000BB000000}"/>
    <cellStyle name="40% - Ênfase5 2" xfId="177" xr:uid="{00000000-0005-0000-0000-0000BC000000}"/>
    <cellStyle name="40% - Ênfase6 2" xfId="178" xr:uid="{00000000-0005-0000-0000-0000BD000000}"/>
    <cellStyle name="40% - Énfasis1" xfId="179" xr:uid="{00000000-0005-0000-0000-0000BE000000}"/>
    <cellStyle name="40% - Énfasis2" xfId="180" xr:uid="{00000000-0005-0000-0000-0000BF000000}"/>
    <cellStyle name="40% - Énfasis3" xfId="181" xr:uid="{00000000-0005-0000-0000-0000C0000000}"/>
    <cellStyle name="40% - Énfasis4" xfId="182" xr:uid="{00000000-0005-0000-0000-0000C1000000}"/>
    <cellStyle name="40% - Énfasis5" xfId="183" xr:uid="{00000000-0005-0000-0000-0000C2000000}"/>
    <cellStyle name="40% - Énfasis6" xfId="184" xr:uid="{00000000-0005-0000-0000-0000C3000000}"/>
    <cellStyle name="60% - Accent1 2" xfId="185" xr:uid="{00000000-0005-0000-0000-0000C4000000}"/>
    <cellStyle name="60% - Accent2 2" xfId="186" xr:uid="{00000000-0005-0000-0000-0000C5000000}"/>
    <cellStyle name="60% - Accent3 2" xfId="187" xr:uid="{00000000-0005-0000-0000-0000C6000000}"/>
    <cellStyle name="60% - Accent4 2" xfId="188" xr:uid="{00000000-0005-0000-0000-0000C7000000}"/>
    <cellStyle name="60% - Accent5 2" xfId="189" xr:uid="{00000000-0005-0000-0000-0000C8000000}"/>
    <cellStyle name="60% - Accent6 2" xfId="190" xr:uid="{00000000-0005-0000-0000-0000C9000000}"/>
    <cellStyle name="60% - Ênfase1 2" xfId="191" xr:uid="{00000000-0005-0000-0000-0000CA000000}"/>
    <cellStyle name="60% - Ênfase2 2" xfId="192" xr:uid="{00000000-0005-0000-0000-0000CB000000}"/>
    <cellStyle name="60% - Ênfase3 2" xfId="193" xr:uid="{00000000-0005-0000-0000-0000CC000000}"/>
    <cellStyle name="60% - Ênfase4 2" xfId="194" xr:uid="{00000000-0005-0000-0000-0000CD000000}"/>
    <cellStyle name="60% - Ênfase5 2" xfId="195" xr:uid="{00000000-0005-0000-0000-0000CE000000}"/>
    <cellStyle name="60% - Ênfase6 2" xfId="196" xr:uid="{00000000-0005-0000-0000-0000CF000000}"/>
    <cellStyle name="60% - Énfasis1" xfId="197" xr:uid="{00000000-0005-0000-0000-0000D0000000}"/>
    <cellStyle name="60% - Énfasis2" xfId="198" xr:uid="{00000000-0005-0000-0000-0000D1000000}"/>
    <cellStyle name="60% - Énfasis3" xfId="199" xr:uid="{00000000-0005-0000-0000-0000D2000000}"/>
    <cellStyle name="60% - Énfasis4" xfId="200" xr:uid="{00000000-0005-0000-0000-0000D3000000}"/>
    <cellStyle name="60% - Énfasis5" xfId="201" xr:uid="{00000000-0005-0000-0000-0000D4000000}"/>
    <cellStyle name="60% - Énfasis6" xfId="202" xr:uid="{00000000-0005-0000-0000-0000D5000000}"/>
    <cellStyle name="9d0" xfId="203" xr:uid="{00000000-0005-0000-0000-0000D6000000}"/>
    <cellStyle name="9d0 2" xfId="849" xr:uid="{00000000-0005-0000-0000-0000D7000000}"/>
    <cellStyle name="9d1" xfId="204" xr:uid="{00000000-0005-0000-0000-0000D8000000}"/>
    <cellStyle name="ABB" xfId="205" xr:uid="{00000000-0005-0000-0000-0000D9000000}"/>
    <cellStyle name="Accent1 2" xfId="206" xr:uid="{00000000-0005-0000-0000-0000DA000000}"/>
    <cellStyle name="Accent2 2" xfId="207" xr:uid="{00000000-0005-0000-0000-0000DB000000}"/>
    <cellStyle name="Accent3 2" xfId="208" xr:uid="{00000000-0005-0000-0000-0000DC000000}"/>
    <cellStyle name="Accent4 2" xfId="209" xr:uid="{00000000-0005-0000-0000-0000DD000000}"/>
    <cellStyle name="Accent5 2" xfId="210" xr:uid="{00000000-0005-0000-0000-0000DE000000}"/>
    <cellStyle name="Accent6 2" xfId="211" xr:uid="{00000000-0005-0000-0000-0000DF000000}"/>
    <cellStyle name="ACTABUD" xfId="212" xr:uid="{00000000-0005-0000-0000-0000E0000000}"/>
    <cellStyle name="actual" xfId="213" xr:uid="{00000000-0005-0000-0000-0000E1000000}"/>
    <cellStyle name="Actual Date" xfId="214" xr:uid="{00000000-0005-0000-0000-0000E2000000}"/>
    <cellStyle name="args.style" xfId="215" xr:uid="{00000000-0005-0000-0000-0000E3000000}"/>
    <cellStyle name="Bad 2" xfId="216" xr:uid="{00000000-0005-0000-0000-0000E4000000}"/>
    <cellStyle name="Blue" xfId="217" xr:uid="{00000000-0005-0000-0000-0000E5000000}"/>
    <cellStyle name="Body" xfId="218" xr:uid="{00000000-0005-0000-0000-0000E6000000}"/>
    <cellStyle name="Bom 2" xfId="219" xr:uid="{00000000-0005-0000-0000-0000E7000000}"/>
    <cellStyle name="BOM-DOWN" xfId="220" xr:uid="{00000000-0005-0000-0000-0000E8000000}"/>
    <cellStyle name="Break" xfId="221" xr:uid="{00000000-0005-0000-0000-0000E9000000}"/>
    <cellStyle name="BU" xfId="222" xr:uid="{00000000-0005-0000-0000-0000EA000000}"/>
    <cellStyle name="Buena" xfId="223" xr:uid="{00000000-0005-0000-0000-0000EB000000}"/>
    <cellStyle name="Bullet" xfId="224" xr:uid="{00000000-0005-0000-0000-0000EC000000}"/>
    <cellStyle name="Calc Currency (0)" xfId="225" xr:uid="{00000000-0005-0000-0000-0000ED000000}"/>
    <cellStyle name="Calc Currency (2)" xfId="226" xr:uid="{00000000-0005-0000-0000-0000EE000000}"/>
    <cellStyle name="Calc Percent (0)" xfId="227" xr:uid="{00000000-0005-0000-0000-0000EF000000}"/>
    <cellStyle name="Calc Percent (1)" xfId="228" xr:uid="{00000000-0005-0000-0000-0000F0000000}"/>
    <cellStyle name="Calc Percent (2)" xfId="229" xr:uid="{00000000-0005-0000-0000-0000F1000000}"/>
    <cellStyle name="Calc Units (0)" xfId="230" xr:uid="{00000000-0005-0000-0000-0000F2000000}"/>
    <cellStyle name="Calc Units (1)" xfId="231" xr:uid="{00000000-0005-0000-0000-0000F3000000}"/>
    <cellStyle name="Calc Units (2)" xfId="232" xr:uid="{00000000-0005-0000-0000-0000F4000000}"/>
    <cellStyle name="Calculation 2" xfId="233" xr:uid="{00000000-0005-0000-0000-0000F5000000}"/>
    <cellStyle name="Cálculo 2" xfId="234" xr:uid="{00000000-0005-0000-0000-0000F6000000}"/>
    <cellStyle name="Celda de comprobación" xfId="235" xr:uid="{00000000-0005-0000-0000-0000F7000000}"/>
    <cellStyle name="Celda vinculada" xfId="236" xr:uid="{00000000-0005-0000-0000-0000F8000000}"/>
    <cellStyle name="Célula de Verificação 2" xfId="237" xr:uid="{00000000-0005-0000-0000-0000F9000000}"/>
    <cellStyle name="Célula Vinculada 2" xfId="238" xr:uid="{00000000-0005-0000-0000-0000FA000000}"/>
    <cellStyle name="Check Cell 2" xfId="239" xr:uid="{00000000-0005-0000-0000-0000FB000000}"/>
    <cellStyle name="column1" xfId="240" xr:uid="{00000000-0005-0000-0000-0000FC000000}"/>
    <cellStyle name="column1Big" xfId="241" xr:uid="{00000000-0005-0000-0000-0000FD000000}"/>
    <cellStyle name="column1Date" xfId="242" xr:uid="{00000000-0005-0000-0000-0000FE000000}"/>
    <cellStyle name="Comma  - Style1" xfId="243" xr:uid="{00000000-0005-0000-0000-0000FF000000}"/>
    <cellStyle name="Comma  - Style2" xfId="244" xr:uid="{00000000-0005-0000-0000-000000010000}"/>
    <cellStyle name="Comma  - Style3" xfId="245" xr:uid="{00000000-0005-0000-0000-000001010000}"/>
    <cellStyle name="Comma  - Style4" xfId="246" xr:uid="{00000000-0005-0000-0000-000002010000}"/>
    <cellStyle name="Comma  - Style5" xfId="247" xr:uid="{00000000-0005-0000-0000-000003010000}"/>
    <cellStyle name="Comma  - Style6" xfId="248" xr:uid="{00000000-0005-0000-0000-000004010000}"/>
    <cellStyle name="Comma  - Style7" xfId="249" xr:uid="{00000000-0005-0000-0000-000005010000}"/>
    <cellStyle name="Comma  - Style8" xfId="250" xr:uid="{00000000-0005-0000-0000-000006010000}"/>
    <cellStyle name="Comma [00]" xfId="251" xr:uid="{00000000-0005-0000-0000-000007010000}"/>
    <cellStyle name="Comma 10" xfId="252" xr:uid="{00000000-0005-0000-0000-000008010000}"/>
    <cellStyle name="Comma 10 2" xfId="850" xr:uid="{00000000-0005-0000-0000-000009010000}"/>
    <cellStyle name="Comma 11" xfId="253" xr:uid="{00000000-0005-0000-0000-00000A010000}"/>
    <cellStyle name="Comma 11 2" xfId="254" xr:uid="{00000000-0005-0000-0000-00000B010000}"/>
    <cellStyle name="Comma 11 2 2" xfId="852" xr:uid="{00000000-0005-0000-0000-00000C010000}"/>
    <cellStyle name="Comma 11 3" xfId="851" xr:uid="{00000000-0005-0000-0000-00000D010000}"/>
    <cellStyle name="Comma 12" xfId="255" xr:uid="{00000000-0005-0000-0000-00000E010000}"/>
    <cellStyle name="Comma 12 2" xfId="256" xr:uid="{00000000-0005-0000-0000-00000F010000}"/>
    <cellStyle name="Comma 12 2 2" xfId="854" xr:uid="{00000000-0005-0000-0000-000010010000}"/>
    <cellStyle name="Comma 12 3" xfId="853" xr:uid="{00000000-0005-0000-0000-000011010000}"/>
    <cellStyle name="Comma 13" xfId="257" xr:uid="{00000000-0005-0000-0000-000012010000}"/>
    <cellStyle name="Comma 13 2" xfId="258" xr:uid="{00000000-0005-0000-0000-000013010000}"/>
    <cellStyle name="Comma 13 2 2" xfId="856" xr:uid="{00000000-0005-0000-0000-000014010000}"/>
    <cellStyle name="Comma 13 3" xfId="855" xr:uid="{00000000-0005-0000-0000-000015010000}"/>
    <cellStyle name="Comma 14" xfId="259" xr:uid="{00000000-0005-0000-0000-000016010000}"/>
    <cellStyle name="Comma 14 2" xfId="260" xr:uid="{00000000-0005-0000-0000-000017010000}"/>
    <cellStyle name="Comma 14 2 2" xfId="858" xr:uid="{00000000-0005-0000-0000-000018010000}"/>
    <cellStyle name="Comma 14 3" xfId="857" xr:uid="{00000000-0005-0000-0000-000019010000}"/>
    <cellStyle name="Comma 15" xfId="261" xr:uid="{00000000-0005-0000-0000-00001A010000}"/>
    <cellStyle name="Comma 15 2" xfId="262" xr:uid="{00000000-0005-0000-0000-00001B010000}"/>
    <cellStyle name="Comma 15 2 2" xfId="860" xr:uid="{00000000-0005-0000-0000-00001C010000}"/>
    <cellStyle name="Comma 15 3" xfId="859" xr:uid="{00000000-0005-0000-0000-00001D010000}"/>
    <cellStyle name="Comma 16" xfId="263" xr:uid="{00000000-0005-0000-0000-00001E010000}"/>
    <cellStyle name="Comma 16 2" xfId="264" xr:uid="{00000000-0005-0000-0000-00001F010000}"/>
    <cellStyle name="Comma 16 2 2" xfId="862" xr:uid="{00000000-0005-0000-0000-000020010000}"/>
    <cellStyle name="Comma 16 3" xfId="861" xr:uid="{00000000-0005-0000-0000-000021010000}"/>
    <cellStyle name="Comma 17" xfId="265" xr:uid="{00000000-0005-0000-0000-000022010000}"/>
    <cellStyle name="Comma 17 2" xfId="266" xr:uid="{00000000-0005-0000-0000-000023010000}"/>
    <cellStyle name="Comma 17 2 2" xfId="864" xr:uid="{00000000-0005-0000-0000-000024010000}"/>
    <cellStyle name="Comma 17 3" xfId="863" xr:uid="{00000000-0005-0000-0000-000025010000}"/>
    <cellStyle name="Comma 18" xfId="267" xr:uid="{00000000-0005-0000-0000-000026010000}"/>
    <cellStyle name="Comma 18 2" xfId="268" xr:uid="{00000000-0005-0000-0000-000027010000}"/>
    <cellStyle name="Comma 18 2 2" xfId="866" xr:uid="{00000000-0005-0000-0000-000028010000}"/>
    <cellStyle name="Comma 18 3" xfId="865" xr:uid="{00000000-0005-0000-0000-000029010000}"/>
    <cellStyle name="Comma 19" xfId="269" xr:uid="{00000000-0005-0000-0000-00002A010000}"/>
    <cellStyle name="Comma 19 2" xfId="270" xr:uid="{00000000-0005-0000-0000-00002B010000}"/>
    <cellStyle name="Comma 19 2 2" xfId="868" xr:uid="{00000000-0005-0000-0000-00002C010000}"/>
    <cellStyle name="Comma 19 3" xfId="867" xr:uid="{00000000-0005-0000-0000-00002D010000}"/>
    <cellStyle name="Comma 2" xfId="271" xr:uid="{00000000-0005-0000-0000-00002E010000}"/>
    <cellStyle name="Comma 2 18" xfId="272" xr:uid="{00000000-0005-0000-0000-00002F010000}"/>
    <cellStyle name="Comma 2 18 2" xfId="870" xr:uid="{00000000-0005-0000-0000-000030010000}"/>
    <cellStyle name="Comma 2 2" xfId="273" xr:uid="{00000000-0005-0000-0000-000031010000}"/>
    <cellStyle name="Comma 2 2 2" xfId="871" xr:uid="{00000000-0005-0000-0000-000032010000}"/>
    <cellStyle name="Comma 2 3" xfId="274" xr:uid="{00000000-0005-0000-0000-000033010000}"/>
    <cellStyle name="Comma 2 3 2" xfId="872" xr:uid="{00000000-0005-0000-0000-000034010000}"/>
    <cellStyle name="Comma 2 4" xfId="869" xr:uid="{00000000-0005-0000-0000-000035010000}"/>
    <cellStyle name="Comma 2_Provisão de Horas Fechamento de Junho 2012" xfId="275" xr:uid="{00000000-0005-0000-0000-000036010000}"/>
    <cellStyle name="Comma 20" xfId="276" xr:uid="{00000000-0005-0000-0000-000037010000}"/>
    <cellStyle name="Comma 20 2" xfId="277" xr:uid="{00000000-0005-0000-0000-000038010000}"/>
    <cellStyle name="Comma 20 2 2" xfId="874" xr:uid="{00000000-0005-0000-0000-000039010000}"/>
    <cellStyle name="Comma 20 3" xfId="873" xr:uid="{00000000-0005-0000-0000-00003A010000}"/>
    <cellStyle name="Comma 21" xfId="278" xr:uid="{00000000-0005-0000-0000-00003B010000}"/>
    <cellStyle name="Comma 21 2" xfId="279" xr:uid="{00000000-0005-0000-0000-00003C010000}"/>
    <cellStyle name="Comma 21 2 2" xfId="876" xr:uid="{00000000-0005-0000-0000-00003D010000}"/>
    <cellStyle name="Comma 21 3" xfId="875" xr:uid="{00000000-0005-0000-0000-00003E010000}"/>
    <cellStyle name="Comma 22" xfId="280" xr:uid="{00000000-0005-0000-0000-00003F010000}"/>
    <cellStyle name="Comma 22 2" xfId="281" xr:uid="{00000000-0005-0000-0000-000040010000}"/>
    <cellStyle name="Comma 22 2 2" xfId="878" xr:uid="{00000000-0005-0000-0000-000041010000}"/>
    <cellStyle name="Comma 22 3" xfId="877" xr:uid="{00000000-0005-0000-0000-000042010000}"/>
    <cellStyle name="Comma 23" xfId="282" xr:uid="{00000000-0005-0000-0000-000043010000}"/>
    <cellStyle name="Comma 23 2" xfId="283" xr:uid="{00000000-0005-0000-0000-000044010000}"/>
    <cellStyle name="Comma 23 2 2" xfId="880" xr:uid="{00000000-0005-0000-0000-000045010000}"/>
    <cellStyle name="Comma 23 3" xfId="879" xr:uid="{00000000-0005-0000-0000-000046010000}"/>
    <cellStyle name="Comma 24" xfId="284" xr:uid="{00000000-0005-0000-0000-000047010000}"/>
    <cellStyle name="Comma 24 2" xfId="285" xr:uid="{00000000-0005-0000-0000-000048010000}"/>
    <cellStyle name="Comma 24 2 2" xfId="882" xr:uid="{00000000-0005-0000-0000-000049010000}"/>
    <cellStyle name="Comma 24 3" xfId="881" xr:uid="{00000000-0005-0000-0000-00004A010000}"/>
    <cellStyle name="Comma 25" xfId="286" xr:uid="{00000000-0005-0000-0000-00004B010000}"/>
    <cellStyle name="Comma 25 2" xfId="287" xr:uid="{00000000-0005-0000-0000-00004C010000}"/>
    <cellStyle name="Comma 25 2 2" xfId="884" xr:uid="{00000000-0005-0000-0000-00004D010000}"/>
    <cellStyle name="Comma 25 3" xfId="883" xr:uid="{00000000-0005-0000-0000-00004E010000}"/>
    <cellStyle name="Comma 26" xfId="288" xr:uid="{00000000-0005-0000-0000-00004F010000}"/>
    <cellStyle name="Comma 26 2" xfId="289" xr:uid="{00000000-0005-0000-0000-000050010000}"/>
    <cellStyle name="Comma 26 2 2" xfId="886" xr:uid="{00000000-0005-0000-0000-000051010000}"/>
    <cellStyle name="Comma 26 3" xfId="885" xr:uid="{00000000-0005-0000-0000-000052010000}"/>
    <cellStyle name="Comma 27" xfId="290" xr:uid="{00000000-0005-0000-0000-000053010000}"/>
    <cellStyle name="Comma 27 2" xfId="291" xr:uid="{00000000-0005-0000-0000-000054010000}"/>
    <cellStyle name="Comma 27 2 2" xfId="888" xr:uid="{00000000-0005-0000-0000-000055010000}"/>
    <cellStyle name="Comma 27 3" xfId="887" xr:uid="{00000000-0005-0000-0000-000056010000}"/>
    <cellStyle name="Comma 28" xfId="292" xr:uid="{00000000-0005-0000-0000-000057010000}"/>
    <cellStyle name="Comma 28 2" xfId="293" xr:uid="{00000000-0005-0000-0000-000058010000}"/>
    <cellStyle name="Comma 28 2 2" xfId="890" xr:uid="{00000000-0005-0000-0000-000059010000}"/>
    <cellStyle name="Comma 28 3" xfId="889" xr:uid="{00000000-0005-0000-0000-00005A010000}"/>
    <cellStyle name="Comma 29" xfId="294" xr:uid="{00000000-0005-0000-0000-00005B010000}"/>
    <cellStyle name="Comma 29 2" xfId="295" xr:uid="{00000000-0005-0000-0000-00005C010000}"/>
    <cellStyle name="Comma 29 2 2" xfId="892" xr:uid="{00000000-0005-0000-0000-00005D010000}"/>
    <cellStyle name="Comma 29 3" xfId="891" xr:uid="{00000000-0005-0000-0000-00005E010000}"/>
    <cellStyle name="Comma 3" xfId="296" xr:uid="{00000000-0005-0000-0000-00005F010000}"/>
    <cellStyle name="Comma 3 2" xfId="297" xr:uid="{00000000-0005-0000-0000-000060010000}"/>
    <cellStyle name="Comma 3 2 2" xfId="298" xr:uid="{00000000-0005-0000-0000-000061010000}"/>
    <cellStyle name="Comma 3 2 2 2" xfId="895" xr:uid="{00000000-0005-0000-0000-000062010000}"/>
    <cellStyle name="Comma 3 2 3" xfId="894" xr:uid="{00000000-0005-0000-0000-000063010000}"/>
    <cellStyle name="Comma 3 3" xfId="299" xr:uid="{00000000-0005-0000-0000-000064010000}"/>
    <cellStyle name="Comma 3 3 2" xfId="896" xr:uid="{00000000-0005-0000-0000-000065010000}"/>
    <cellStyle name="Comma 3 4" xfId="893" xr:uid="{00000000-0005-0000-0000-000066010000}"/>
    <cellStyle name="Comma 30" xfId="300" xr:uid="{00000000-0005-0000-0000-000067010000}"/>
    <cellStyle name="Comma 30 2" xfId="301" xr:uid="{00000000-0005-0000-0000-000068010000}"/>
    <cellStyle name="Comma 30 2 2" xfId="898" xr:uid="{00000000-0005-0000-0000-000069010000}"/>
    <cellStyle name="Comma 30 3" xfId="897" xr:uid="{00000000-0005-0000-0000-00006A010000}"/>
    <cellStyle name="Comma 31" xfId="302" xr:uid="{00000000-0005-0000-0000-00006B010000}"/>
    <cellStyle name="Comma 31 2" xfId="303" xr:uid="{00000000-0005-0000-0000-00006C010000}"/>
    <cellStyle name="Comma 31 2 2" xfId="900" xr:uid="{00000000-0005-0000-0000-00006D010000}"/>
    <cellStyle name="Comma 31 3" xfId="899" xr:uid="{00000000-0005-0000-0000-00006E010000}"/>
    <cellStyle name="Comma 32" xfId="304" xr:uid="{00000000-0005-0000-0000-00006F010000}"/>
    <cellStyle name="Comma 32 2" xfId="305" xr:uid="{00000000-0005-0000-0000-000070010000}"/>
    <cellStyle name="Comma 32 2 2" xfId="902" xr:uid="{00000000-0005-0000-0000-000071010000}"/>
    <cellStyle name="Comma 32 3" xfId="901" xr:uid="{00000000-0005-0000-0000-000072010000}"/>
    <cellStyle name="Comma 33" xfId="306" xr:uid="{00000000-0005-0000-0000-000073010000}"/>
    <cellStyle name="Comma 33 2" xfId="307" xr:uid="{00000000-0005-0000-0000-000074010000}"/>
    <cellStyle name="Comma 33 2 2" xfId="904" xr:uid="{00000000-0005-0000-0000-000075010000}"/>
    <cellStyle name="Comma 33 3" xfId="903" xr:uid="{00000000-0005-0000-0000-000076010000}"/>
    <cellStyle name="Comma 34" xfId="308" xr:uid="{00000000-0005-0000-0000-000077010000}"/>
    <cellStyle name="Comma 34 2" xfId="309" xr:uid="{00000000-0005-0000-0000-000078010000}"/>
    <cellStyle name="Comma 34 2 2" xfId="906" xr:uid="{00000000-0005-0000-0000-000079010000}"/>
    <cellStyle name="Comma 34 3" xfId="905" xr:uid="{00000000-0005-0000-0000-00007A010000}"/>
    <cellStyle name="Comma 35" xfId="310" xr:uid="{00000000-0005-0000-0000-00007B010000}"/>
    <cellStyle name="Comma 35 2" xfId="311" xr:uid="{00000000-0005-0000-0000-00007C010000}"/>
    <cellStyle name="Comma 35 2 2" xfId="908" xr:uid="{00000000-0005-0000-0000-00007D010000}"/>
    <cellStyle name="Comma 35 3" xfId="907" xr:uid="{00000000-0005-0000-0000-00007E010000}"/>
    <cellStyle name="Comma 36" xfId="312" xr:uid="{00000000-0005-0000-0000-00007F010000}"/>
    <cellStyle name="Comma 36 2" xfId="313" xr:uid="{00000000-0005-0000-0000-000080010000}"/>
    <cellStyle name="Comma 36 2 2" xfId="910" xr:uid="{00000000-0005-0000-0000-000081010000}"/>
    <cellStyle name="Comma 36 3" xfId="909" xr:uid="{00000000-0005-0000-0000-000082010000}"/>
    <cellStyle name="Comma 37" xfId="314" xr:uid="{00000000-0005-0000-0000-000083010000}"/>
    <cellStyle name="Comma 37 2" xfId="911" xr:uid="{00000000-0005-0000-0000-000084010000}"/>
    <cellStyle name="Comma 38" xfId="315" xr:uid="{00000000-0005-0000-0000-000085010000}"/>
    <cellStyle name="Comma 38 2" xfId="912" xr:uid="{00000000-0005-0000-0000-000086010000}"/>
    <cellStyle name="Comma 39" xfId="316" xr:uid="{00000000-0005-0000-0000-000087010000}"/>
    <cellStyle name="Comma 39 2" xfId="913" xr:uid="{00000000-0005-0000-0000-000088010000}"/>
    <cellStyle name="Comma 4" xfId="317" xr:uid="{00000000-0005-0000-0000-000089010000}"/>
    <cellStyle name="Comma 4 2" xfId="318" xr:uid="{00000000-0005-0000-0000-00008A010000}"/>
    <cellStyle name="Comma 4 2 2" xfId="915" xr:uid="{00000000-0005-0000-0000-00008B010000}"/>
    <cellStyle name="Comma 4 3" xfId="914" xr:uid="{00000000-0005-0000-0000-00008C010000}"/>
    <cellStyle name="Comma 40" xfId="319" xr:uid="{00000000-0005-0000-0000-00008D010000}"/>
    <cellStyle name="Comma 40 2" xfId="916" xr:uid="{00000000-0005-0000-0000-00008E010000}"/>
    <cellStyle name="Comma 41" xfId="320" xr:uid="{00000000-0005-0000-0000-00008F010000}"/>
    <cellStyle name="Comma 41 2" xfId="917" xr:uid="{00000000-0005-0000-0000-000090010000}"/>
    <cellStyle name="Comma 42" xfId="321" xr:uid="{00000000-0005-0000-0000-000091010000}"/>
    <cellStyle name="Comma 42 2" xfId="918" xr:uid="{00000000-0005-0000-0000-000092010000}"/>
    <cellStyle name="Comma 43" xfId="322" xr:uid="{00000000-0005-0000-0000-000093010000}"/>
    <cellStyle name="Comma 43 2" xfId="919" xr:uid="{00000000-0005-0000-0000-000094010000}"/>
    <cellStyle name="Comma 44" xfId="323" xr:uid="{00000000-0005-0000-0000-000095010000}"/>
    <cellStyle name="Comma 44 2" xfId="920" xr:uid="{00000000-0005-0000-0000-000096010000}"/>
    <cellStyle name="Comma 45" xfId="324" xr:uid="{00000000-0005-0000-0000-000097010000}"/>
    <cellStyle name="Comma 45 2" xfId="921" xr:uid="{00000000-0005-0000-0000-000098010000}"/>
    <cellStyle name="Comma 46" xfId="325" xr:uid="{00000000-0005-0000-0000-000099010000}"/>
    <cellStyle name="Comma 46 2" xfId="922" xr:uid="{00000000-0005-0000-0000-00009A010000}"/>
    <cellStyle name="Comma 47" xfId="326" xr:uid="{00000000-0005-0000-0000-00009B010000}"/>
    <cellStyle name="Comma 47 2" xfId="923" xr:uid="{00000000-0005-0000-0000-00009C010000}"/>
    <cellStyle name="Comma 48" xfId="327" xr:uid="{00000000-0005-0000-0000-00009D010000}"/>
    <cellStyle name="Comma 48 2" xfId="328" xr:uid="{00000000-0005-0000-0000-00009E010000}"/>
    <cellStyle name="Comma 48 2 2" xfId="925" xr:uid="{00000000-0005-0000-0000-00009F010000}"/>
    <cellStyle name="Comma 48 3" xfId="924" xr:uid="{00000000-0005-0000-0000-0000A0010000}"/>
    <cellStyle name="Comma 49" xfId="329" xr:uid="{00000000-0005-0000-0000-0000A1010000}"/>
    <cellStyle name="Comma 49 2" xfId="330" xr:uid="{00000000-0005-0000-0000-0000A2010000}"/>
    <cellStyle name="Comma 49 2 2" xfId="927" xr:uid="{00000000-0005-0000-0000-0000A3010000}"/>
    <cellStyle name="Comma 49 3" xfId="926" xr:uid="{00000000-0005-0000-0000-0000A4010000}"/>
    <cellStyle name="Comma 5" xfId="331" xr:uid="{00000000-0005-0000-0000-0000A5010000}"/>
    <cellStyle name="Comma 5 2" xfId="332" xr:uid="{00000000-0005-0000-0000-0000A6010000}"/>
    <cellStyle name="Comma 5 2 2" xfId="929" xr:uid="{00000000-0005-0000-0000-0000A7010000}"/>
    <cellStyle name="Comma 5 3" xfId="928" xr:uid="{00000000-0005-0000-0000-0000A8010000}"/>
    <cellStyle name="Comma 50" xfId="333" xr:uid="{00000000-0005-0000-0000-0000A9010000}"/>
    <cellStyle name="Comma 50 2" xfId="334" xr:uid="{00000000-0005-0000-0000-0000AA010000}"/>
    <cellStyle name="Comma 50 2 2" xfId="931" xr:uid="{00000000-0005-0000-0000-0000AB010000}"/>
    <cellStyle name="Comma 50 3" xfId="930" xr:uid="{00000000-0005-0000-0000-0000AC010000}"/>
    <cellStyle name="Comma 51" xfId="335" xr:uid="{00000000-0005-0000-0000-0000AD010000}"/>
    <cellStyle name="Comma 51 2" xfId="336" xr:uid="{00000000-0005-0000-0000-0000AE010000}"/>
    <cellStyle name="Comma 51 2 2" xfId="933" xr:uid="{00000000-0005-0000-0000-0000AF010000}"/>
    <cellStyle name="Comma 51 3" xfId="932" xr:uid="{00000000-0005-0000-0000-0000B0010000}"/>
    <cellStyle name="Comma 52" xfId="337" xr:uid="{00000000-0005-0000-0000-0000B1010000}"/>
    <cellStyle name="Comma 52 2" xfId="338" xr:uid="{00000000-0005-0000-0000-0000B2010000}"/>
    <cellStyle name="Comma 52 2 2" xfId="935" xr:uid="{00000000-0005-0000-0000-0000B3010000}"/>
    <cellStyle name="Comma 52 3" xfId="934" xr:uid="{00000000-0005-0000-0000-0000B4010000}"/>
    <cellStyle name="Comma 53" xfId="339" xr:uid="{00000000-0005-0000-0000-0000B5010000}"/>
    <cellStyle name="Comma 53 2" xfId="340" xr:uid="{00000000-0005-0000-0000-0000B6010000}"/>
    <cellStyle name="Comma 53 2 2" xfId="937" xr:uid="{00000000-0005-0000-0000-0000B7010000}"/>
    <cellStyle name="Comma 53 3" xfId="936" xr:uid="{00000000-0005-0000-0000-0000B8010000}"/>
    <cellStyle name="Comma 54" xfId="341" xr:uid="{00000000-0005-0000-0000-0000B9010000}"/>
    <cellStyle name="Comma 54 2" xfId="342" xr:uid="{00000000-0005-0000-0000-0000BA010000}"/>
    <cellStyle name="Comma 54 2 2" xfId="939" xr:uid="{00000000-0005-0000-0000-0000BB010000}"/>
    <cellStyle name="Comma 54 3" xfId="938" xr:uid="{00000000-0005-0000-0000-0000BC010000}"/>
    <cellStyle name="Comma 6" xfId="343" xr:uid="{00000000-0005-0000-0000-0000BD010000}"/>
    <cellStyle name="Comma 6 2" xfId="344" xr:uid="{00000000-0005-0000-0000-0000BE010000}"/>
    <cellStyle name="Comma 6 2 2" xfId="345" xr:uid="{00000000-0005-0000-0000-0000BF010000}"/>
    <cellStyle name="Comma 6 2 2 2" xfId="942" xr:uid="{00000000-0005-0000-0000-0000C0010000}"/>
    <cellStyle name="Comma 6 2 3" xfId="941" xr:uid="{00000000-0005-0000-0000-0000C1010000}"/>
    <cellStyle name="Comma 6 3" xfId="346" xr:uid="{00000000-0005-0000-0000-0000C2010000}"/>
    <cellStyle name="Comma 6 3 2" xfId="943" xr:uid="{00000000-0005-0000-0000-0000C3010000}"/>
    <cellStyle name="Comma 6 4" xfId="940" xr:uid="{00000000-0005-0000-0000-0000C4010000}"/>
    <cellStyle name="Comma 7" xfId="347" xr:uid="{00000000-0005-0000-0000-0000C5010000}"/>
    <cellStyle name="Comma 7 2" xfId="348" xr:uid="{00000000-0005-0000-0000-0000C6010000}"/>
    <cellStyle name="Comma 7 2 2" xfId="945" xr:uid="{00000000-0005-0000-0000-0000C7010000}"/>
    <cellStyle name="Comma 7 3" xfId="944" xr:uid="{00000000-0005-0000-0000-0000C8010000}"/>
    <cellStyle name="Comma 8" xfId="349" xr:uid="{00000000-0005-0000-0000-0000C9010000}"/>
    <cellStyle name="Comma 8 2" xfId="350" xr:uid="{00000000-0005-0000-0000-0000CA010000}"/>
    <cellStyle name="Comma 8 2 2" xfId="947" xr:uid="{00000000-0005-0000-0000-0000CB010000}"/>
    <cellStyle name="Comma 8 3" xfId="946" xr:uid="{00000000-0005-0000-0000-0000CC010000}"/>
    <cellStyle name="Comma 9" xfId="351" xr:uid="{00000000-0005-0000-0000-0000CD010000}"/>
    <cellStyle name="Comma 9 2" xfId="352" xr:uid="{00000000-0005-0000-0000-0000CE010000}"/>
    <cellStyle name="Comma 9 2 2" xfId="949" xr:uid="{00000000-0005-0000-0000-0000CF010000}"/>
    <cellStyle name="Comma 9 3" xfId="948" xr:uid="{00000000-0005-0000-0000-0000D0010000}"/>
    <cellStyle name="Comma0" xfId="353" xr:uid="{00000000-0005-0000-0000-0000D1010000}"/>
    <cellStyle name="Comma0 - Style3" xfId="354" xr:uid="{00000000-0005-0000-0000-0000D2010000}"/>
    <cellStyle name="Comma1 - Style1" xfId="355" xr:uid="{00000000-0005-0000-0000-0000D3010000}"/>
    <cellStyle name="Component" xfId="356" xr:uid="{00000000-0005-0000-0000-0000D4010000}"/>
    <cellStyle name="Copied" xfId="357" xr:uid="{00000000-0005-0000-0000-0000D5010000}"/>
    <cellStyle name="COST1" xfId="358" xr:uid="{00000000-0005-0000-0000-0000D6010000}"/>
    <cellStyle name="Curren - Style4" xfId="359" xr:uid="{00000000-0005-0000-0000-0000D7010000}"/>
    <cellStyle name="Currency" xfId="1018" builtinId="4"/>
    <cellStyle name="Currency [00]" xfId="360" xr:uid="{00000000-0005-0000-0000-0000D8010000}"/>
    <cellStyle name="Currency 2" xfId="361" xr:uid="{00000000-0005-0000-0000-0000D9010000}"/>
    <cellStyle name="Currency 2 2" xfId="950" xr:uid="{00000000-0005-0000-0000-0000DA010000}"/>
    <cellStyle name="Currency 3" xfId="362" xr:uid="{00000000-0005-0000-0000-0000DB010000}"/>
    <cellStyle name="Currency 3 2" xfId="951" xr:uid="{00000000-0005-0000-0000-0000DC010000}"/>
    <cellStyle name="Currency0" xfId="363" xr:uid="{00000000-0005-0000-0000-0000DD010000}"/>
    <cellStyle name="Date" xfId="364" xr:uid="{00000000-0005-0000-0000-0000DE010000}"/>
    <cellStyle name="Date Short" xfId="365" xr:uid="{00000000-0005-0000-0000-0000DF010000}"/>
    <cellStyle name="DATE_nohyphons" xfId="366" xr:uid="{00000000-0005-0000-0000-0000E0010000}"/>
    <cellStyle name="Dato" xfId="367" xr:uid="{00000000-0005-0000-0000-0000E1010000}"/>
    <cellStyle name="Dato 2" xfId="368" xr:uid="{00000000-0005-0000-0000-0000E2010000}"/>
    <cellStyle name="DELTA" xfId="369" xr:uid="{00000000-0005-0000-0000-0000E3010000}"/>
    <cellStyle name="Dezimal [0]_2001 Europe Discussion 010608" xfId="370" xr:uid="{00000000-0005-0000-0000-0000E4010000}"/>
    <cellStyle name="Dezimal_2001 Europe Discussion 010608" xfId="371" xr:uid="{00000000-0005-0000-0000-0000E5010000}"/>
    <cellStyle name="DownLoad" xfId="372" xr:uid="{00000000-0005-0000-0000-0000E6010000}"/>
    <cellStyle name="DSYSPROJ" xfId="373" xr:uid="{00000000-0005-0000-0000-0000E7010000}"/>
    <cellStyle name="Encabezado 4" xfId="374" xr:uid="{00000000-0005-0000-0000-0000E8010000}"/>
    <cellStyle name="Ênfase1 2" xfId="375" xr:uid="{00000000-0005-0000-0000-0000E9010000}"/>
    <cellStyle name="Ênfase2 2" xfId="376" xr:uid="{00000000-0005-0000-0000-0000EA010000}"/>
    <cellStyle name="Ênfase3 2" xfId="377" xr:uid="{00000000-0005-0000-0000-0000EB010000}"/>
    <cellStyle name="Ênfase4 2" xfId="378" xr:uid="{00000000-0005-0000-0000-0000EC010000}"/>
    <cellStyle name="Ênfase5 2" xfId="379" xr:uid="{00000000-0005-0000-0000-0000ED010000}"/>
    <cellStyle name="Ênfase6 2" xfId="380" xr:uid="{00000000-0005-0000-0000-0000EE010000}"/>
    <cellStyle name="Énfasis1" xfId="381" xr:uid="{00000000-0005-0000-0000-0000EF010000}"/>
    <cellStyle name="Énfasis2" xfId="382" xr:uid="{00000000-0005-0000-0000-0000F0010000}"/>
    <cellStyle name="Énfasis3" xfId="383" xr:uid="{00000000-0005-0000-0000-0000F1010000}"/>
    <cellStyle name="Énfasis4" xfId="384" xr:uid="{00000000-0005-0000-0000-0000F2010000}"/>
    <cellStyle name="Énfasis5" xfId="385" xr:uid="{00000000-0005-0000-0000-0000F3010000}"/>
    <cellStyle name="Énfasis6" xfId="386" xr:uid="{00000000-0005-0000-0000-0000F4010000}"/>
    <cellStyle name="Enter Currency (0)" xfId="387" xr:uid="{00000000-0005-0000-0000-0000F5010000}"/>
    <cellStyle name="Enter Currency (2)" xfId="388" xr:uid="{00000000-0005-0000-0000-0000F6010000}"/>
    <cellStyle name="Enter Units (0)" xfId="389" xr:uid="{00000000-0005-0000-0000-0000F7010000}"/>
    <cellStyle name="Enter Units (1)" xfId="390" xr:uid="{00000000-0005-0000-0000-0000F8010000}"/>
    <cellStyle name="Enter Units (2)" xfId="391" xr:uid="{00000000-0005-0000-0000-0000F9010000}"/>
    <cellStyle name="Entered" xfId="392" xr:uid="{00000000-0005-0000-0000-0000FA010000}"/>
    <cellStyle name="Entrada 2" xfId="393" xr:uid="{00000000-0005-0000-0000-0000FB010000}"/>
    <cellStyle name="Euro" xfId="394" xr:uid="{00000000-0005-0000-0000-0000FC010000}"/>
    <cellStyle name="Euro 2" xfId="395" xr:uid="{00000000-0005-0000-0000-0000FD010000}"/>
    <cellStyle name="Explanatory Text 2" xfId="396" xr:uid="{00000000-0005-0000-0000-0000FE010000}"/>
    <cellStyle name="F2" xfId="397" xr:uid="{00000000-0005-0000-0000-0000FF010000}"/>
    <cellStyle name="F3" xfId="398" xr:uid="{00000000-0005-0000-0000-000000020000}"/>
    <cellStyle name="F4" xfId="399" xr:uid="{00000000-0005-0000-0000-000001020000}"/>
    <cellStyle name="F5" xfId="400" xr:uid="{00000000-0005-0000-0000-000002020000}"/>
    <cellStyle name="F6" xfId="401" xr:uid="{00000000-0005-0000-0000-000003020000}"/>
    <cellStyle name="F7" xfId="402" xr:uid="{00000000-0005-0000-0000-000004020000}"/>
    <cellStyle name="F8" xfId="403" xr:uid="{00000000-0005-0000-0000-000005020000}"/>
    <cellStyle name="FIELD" xfId="404" xr:uid="{00000000-0005-0000-0000-000006020000}"/>
    <cellStyle name="Fixed" xfId="405" xr:uid="{00000000-0005-0000-0000-000007020000}"/>
    <cellStyle name="FRACTION" xfId="406" xr:uid="{00000000-0005-0000-0000-000008020000}"/>
    <cellStyle name="GerBOM1" xfId="407" xr:uid="{00000000-0005-0000-0000-000009020000}"/>
    <cellStyle name="Good 2" xfId="408" xr:uid="{00000000-0005-0000-0000-00000A020000}"/>
    <cellStyle name="grayText2" xfId="409" xr:uid="{00000000-0005-0000-0000-00000B020000}"/>
    <cellStyle name="grayText2 2" xfId="952" xr:uid="{00000000-0005-0000-0000-00000C020000}"/>
    <cellStyle name="grayText2Big" xfId="410" xr:uid="{00000000-0005-0000-0000-00000D020000}"/>
    <cellStyle name="Grey" xfId="411" xr:uid="{00000000-0005-0000-0000-00000E020000}"/>
    <cellStyle name="Grey 2" xfId="953" xr:uid="{00000000-0005-0000-0000-00000F020000}"/>
    <cellStyle name="HEADER" xfId="412" xr:uid="{00000000-0005-0000-0000-000010020000}"/>
    <cellStyle name="Header1" xfId="413" xr:uid="{00000000-0005-0000-0000-000011020000}"/>
    <cellStyle name="Header2" xfId="414" xr:uid="{00000000-0005-0000-0000-000012020000}"/>
    <cellStyle name="Heading" xfId="415" xr:uid="{00000000-0005-0000-0000-000013020000}"/>
    <cellStyle name="Heading 1 2" xfId="416" xr:uid="{00000000-0005-0000-0000-000014020000}"/>
    <cellStyle name="Heading 2 2" xfId="417" xr:uid="{00000000-0005-0000-0000-000015020000}"/>
    <cellStyle name="Heading 3 2" xfId="418" xr:uid="{00000000-0005-0000-0000-000016020000}"/>
    <cellStyle name="Heading 4 2" xfId="419" xr:uid="{00000000-0005-0000-0000-000017020000}"/>
    <cellStyle name="Heading1" xfId="420" xr:uid="{00000000-0005-0000-0000-000018020000}"/>
    <cellStyle name="Heading1 2" xfId="421" xr:uid="{00000000-0005-0000-0000-000019020000}"/>
    <cellStyle name="Heading2" xfId="422" xr:uid="{00000000-0005-0000-0000-00001A020000}"/>
    <cellStyle name="Heading2 2" xfId="423" xr:uid="{00000000-0005-0000-0000-00001B020000}"/>
    <cellStyle name="HIGHLIGHT" xfId="424" xr:uid="{00000000-0005-0000-0000-00001C020000}"/>
    <cellStyle name="Hiperligação" xfId="425" xr:uid="{00000000-0005-0000-0000-00001D020000}"/>
    <cellStyle name="Hiperligação visitada" xfId="426" xr:uid="{00000000-0005-0000-0000-00001E020000}"/>
    <cellStyle name="Hyperlink 2" xfId="427" xr:uid="{00000000-0005-0000-0000-00001F020000}"/>
    <cellStyle name="Hypertextový odkaz" xfId="428" xr:uid="{00000000-0005-0000-0000-000020020000}"/>
    <cellStyle name="Incorrecto" xfId="429" xr:uid="{00000000-0005-0000-0000-000021020000}"/>
    <cellStyle name="Incorreto 2" xfId="430" xr:uid="{00000000-0005-0000-0000-000022020000}"/>
    <cellStyle name="Indefinido" xfId="431" xr:uid="{00000000-0005-0000-0000-000023020000}"/>
    <cellStyle name="Input [yellow]" xfId="432" xr:uid="{00000000-0005-0000-0000-000024020000}"/>
    <cellStyle name="Input [yellow] 2" xfId="954" xr:uid="{00000000-0005-0000-0000-000025020000}"/>
    <cellStyle name="Input 2" xfId="433" xr:uid="{00000000-0005-0000-0000-000026020000}"/>
    <cellStyle name="Input Cells" xfId="434" xr:uid="{00000000-0005-0000-0000-000027020000}"/>
    <cellStyle name="leftStyle" xfId="435" xr:uid="{00000000-0005-0000-0000-000028020000}"/>
    <cellStyle name="leftStyle 2" xfId="955" xr:uid="{00000000-0005-0000-0000-000029020000}"/>
    <cellStyle name="Ligne" xfId="436" xr:uid="{00000000-0005-0000-0000-00002A020000}"/>
    <cellStyle name="Link Currency (0)" xfId="437" xr:uid="{00000000-0005-0000-0000-00002B020000}"/>
    <cellStyle name="Link Currency (2)" xfId="438" xr:uid="{00000000-0005-0000-0000-00002C020000}"/>
    <cellStyle name="Link Units (0)" xfId="439" xr:uid="{00000000-0005-0000-0000-00002D020000}"/>
    <cellStyle name="Link Units (1)" xfId="440" xr:uid="{00000000-0005-0000-0000-00002E020000}"/>
    <cellStyle name="Link Units (2)" xfId="441" xr:uid="{00000000-0005-0000-0000-00002F020000}"/>
    <cellStyle name="Linked Cell 2" xfId="442" xr:uid="{00000000-0005-0000-0000-000030020000}"/>
    <cellStyle name="Linked Cells" xfId="443" xr:uid="{00000000-0005-0000-0000-000031020000}"/>
    <cellStyle name="LISAM" xfId="444" xr:uid="{00000000-0005-0000-0000-000032020000}"/>
    <cellStyle name="mark$" xfId="445" xr:uid="{00000000-0005-0000-0000-000033020000}"/>
    <cellStyle name="markno$" xfId="446" xr:uid="{00000000-0005-0000-0000-000034020000}"/>
    <cellStyle name="Migliaia (0)_03-02" xfId="447" xr:uid="{00000000-0005-0000-0000-000035020000}"/>
    <cellStyle name="Migliaia_11-COSSA" xfId="448" xr:uid="{00000000-0005-0000-0000-000036020000}"/>
    <cellStyle name="Millares [0]_DRFC2M Template" xfId="449" xr:uid="{00000000-0005-0000-0000-000037020000}"/>
    <cellStyle name="Millares_ARVEN Diciembre.2004" xfId="450" xr:uid="{00000000-0005-0000-0000-000038020000}"/>
    <cellStyle name="Milliers [0]_!!!GO" xfId="451" xr:uid="{00000000-0005-0000-0000-000039020000}"/>
    <cellStyle name="Milliers_!!!GO" xfId="452" xr:uid="{00000000-0005-0000-0000-00003A020000}"/>
    <cellStyle name="Moneda [0]_DRFC2M Template" xfId="453" xr:uid="{00000000-0005-0000-0000-00003B020000}"/>
    <cellStyle name="Moneda_DRFC2M Template" xfId="454" xr:uid="{00000000-0005-0000-0000-00003C020000}"/>
    <cellStyle name="Monétaire [0]_!!!GO" xfId="455" xr:uid="{00000000-0005-0000-0000-00003D020000}"/>
    <cellStyle name="Monétaire_!!!GO" xfId="456" xr:uid="{00000000-0005-0000-0000-00003E020000}"/>
    <cellStyle name="Neutra 2" xfId="457" xr:uid="{00000000-0005-0000-0000-00003F020000}"/>
    <cellStyle name="Neutral 2" xfId="458" xr:uid="{00000000-0005-0000-0000-000040020000}"/>
    <cellStyle name="no dec" xfId="459" xr:uid="{00000000-0005-0000-0000-000041020000}"/>
    <cellStyle name="Nor}al" xfId="460" xr:uid="{00000000-0005-0000-0000-000042020000}"/>
    <cellStyle name="Nor}al 2" xfId="461" xr:uid="{00000000-0005-0000-0000-000043020000}"/>
    <cellStyle name="Normal" xfId="0" builtinId="0"/>
    <cellStyle name="Normal - Style1" xfId="462" xr:uid="{00000000-0005-0000-0000-000045020000}"/>
    <cellStyle name="Normal - Style2" xfId="463" xr:uid="{00000000-0005-0000-0000-000046020000}"/>
    <cellStyle name="Normal - Style3" xfId="464" xr:uid="{00000000-0005-0000-0000-000047020000}"/>
    <cellStyle name="Normal - Style4" xfId="465" xr:uid="{00000000-0005-0000-0000-000048020000}"/>
    <cellStyle name="Normal - Style5" xfId="466" xr:uid="{00000000-0005-0000-0000-000049020000}"/>
    <cellStyle name="Normal 10" xfId="467" xr:uid="{00000000-0005-0000-0000-00004A020000}"/>
    <cellStyle name="Normal 10 2" xfId="956" xr:uid="{00000000-0005-0000-0000-00004B020000}"/>
    <cellStyle name="Normal 11" xfId="468" xr:uid="{00000000-0005-0000-0000-00004C020000}"/>
    <cellStyle name="Normal 11 2" xfId="957" xr:uid="{00000000-0005-0000-0000-00004D020000}"/>
    <cellStyle name="Normal 12" xfId="469" xr:uid="{00000000-0005-0000-0000-00004E020000}"/>
    <cellStyle name="Normal 12 2" xfId="958" xr:uid="{00000000-0005-0000-0000-00004F020000}"/>
    <cellStyle name="Normal 13" xfId="470" xr:uid="{00000000-0005-0000-0000-000050020000}"/>
    <cellStyle name="Normal 13 2" xfId="471" xr:uid="{00000000-0005-0000-0000-000051020000}"/>
    <cellStyle name="Normal 14" xfId="472" xr:uid="{00000000-0005-0000-0000-000052020000}"/>
    <cellStyle name="Normal 14 2" xfId="473" xr:uid="{00000000-0005-0000-0000-000053020000}"/>
    <cellStyle name="Normal 15" xfId="474" xr:uid="{00000000-0005-0000-0000-000054020000}"/>
    <cellStyle name="Normal 15 2" xfId="475" xr:uid="{00000000-0005-0000-0000-000055020000}"/>
    <cellStyle name="Normal 16" xfId="476" xr:uid="{00000000-0005-0000-0000-000056020000}"/>
    <cellStyle name="Normal 16 2" xfId="477" xr:uid="{00000000-0005-0000-0000-000057020000}"/>
    <cellStyle name="Normal 17" xfId="478" xr:uid="{00000000-0005-0000-0000-000058020000}"/>
    <cellStyle name="Normal 17 2" xfId="479" xr:uid="{00000000-0005-0000-0000-000059020000}"/>
    <cellStyle name="Normal 18" xfId="480" xr:uid="{00000000-0005-0000-0000-00005A020000}"/>
    <cellStyle name="Normal 18 2" xfId="481" xr:uid="{00000000-0005-0000-0000-00005B020000}"/>
    <cellStyle name="Normal 19" xfId="482" xr:uid="{00000000-0005-0000-0000-00005C020000}"/>
    <cellStyle name="Normal 19 2" xfId="483" xr:uid="{00000000-0005-0000-0000-00005D020000}"/>
    <cellStyle name="Normal 2" xfId="484" xr:uid="{00000000-0005-0000-0000-00005E020000}"/>
    <cellStyle name="Normal 2 2" xfId="485" xr:uid="{00000000-0005-0000-0000-00005F020000}"/>
    <cellStyle name="Normal 2 2 2" xfId="486" xr:uid="{00000000-0005-0000-0000-000060020000}"/>
    <cellStyle name="Normal 2 3" xfId="487" xr:uid="{00000000-0005-0000-0000-000061020000}"/>
    <cellStyle name="Normal 2 3 2" xfId="959" xr:uid="{00000000-0005-0000-0000-000062020000}"/>
    <cellStyle name="Normal 20" xfId="488" xr:uid="{00000000-0005-0000-0000-000063020000}"/>
    <cellStyle name="Normal 20 2" xfId="489" xr:uid="{00000000-0005-0000-0000-000064020000}"/>
    <cellStyle name="Normal 21" xfId="490" xr:uid="{00000000-0005-0000-0000-000065020000}"/>
    <cellStyle name="Normal 21 2" xfId="491" xr:uid="{00000000-0005-0000-0000-000066020000}"/>
    <cellStyle name="Normal 22" xfId="492" xr:uid="{00000000-0005-0000-0000-000067020000}"/>
    <cellStyle name="Normal 22 2" xfId="493" xr:uid="{00000000-0005-0000-0000-000068020000}"/>
    <cellStyle name="Normal 23" xfId="494" xr:uid="{00000000-0005-0000-0000-000069020000}"/>
    <cellStyle name="Normal 23 2" xfId="495" xr:uid="{00000000-0005-0000-0000-00006A020000}"/>
    <cellStyle name="Normal 24" xfId="496" xr:uid="{00000000-0005-0000-0000-00006B020000}"/>
    <cellStyle name="Normal 24 2" xfId="497" xr:uid="{00000000-0005-0000-0000-00006C020000}"/>
    <cellStyle name="Normal 25" xfId="498" xr:uid="{00000000-0005-0000-0000-00006D020000}"/>
    <cellStyle name="Normal 25 2" xfId="499" xr:uid="{00000000-0005-0000-0000-00006E020000}"/>
    <cellStyle name="Normal 26" xfId="500" xr:uid="{00000000-0005-0000-0000-00006F020000}"/>
    <cellStyle name="Normal 26 2" xfId="501" xr:uid="{00000000-0005-0000-0000-000070020000}"/>
    <cellStyle name="Normal 27" xfId="502" xr:uid="{00000000-0005-0000-0000-000071020000}"/>
    <cellStyle name="Normal 27 2" xfId="503" xr:uid="{00000000-0005-0000-0000-000072020000}"/>
    <cellStyle name="Normal 28" xfId="504" xr:uid="{00000000-0005-0000-0000-000073020000}"/>
    <cellStyle name="Normal 28 2" xfId="505" xr:uid="{00000000-0005-0000-0000-000074020000}"/>
    <cellStyle name="Normal 29" xfId="506" xr:uid="{00000000-0005-0000-0000-000075020000}"/>
    <cellStyle name="Normal 29 2" xfId="507" xr:uid="{00000000-0005-0000-0000-000076020000}"/>
    <cellStyle name="Normal 3" xfId="508" xr:uid="{00000000-0005-0000-0000-000077020000}"/>
    <cellStyle name="Normal 3 2" xfId="509" xr:uid="{00000000-0005-0000-0000-000078020000}"/>
    <cellStyle name="Normal 30" xfId="510" xr:uid="{00000000-0005-0000-0000-000079020000}"/>
    <cellStyle name="Normal 30 2" xfId="511" xr:uid="{00000000-0005-0000-0000-00007A020000}"/>
    <cellStyle name="Normal 31" xfId="512" xr:uid="{00000000-0005-0000-0000-00007B020000}"/>
    <cellStyle name="Normal 31 2" xfId="513" xr:uid="{00000000-0005-0000-0000-00007C020000}"/>
    <cellStyle name="Normal 32" xfId="514" xr:uid="{00000000-0005-0000-0000-00007D020000}"/>
    <cellStyle name="Normal 32 2" xfId="515" xr:uid="{00000000-0005-0000-0000-00007E020000}"/>
    <cellStyle name="Normal 33" xfId="516" xr:uid="{00000000-0005-0000-0000-00007F020000}"/>
    <cellStyle name="Normal 33 2" xfId="960" xr:uid="{00000000-0005-0000-0000-000080020000}"/>
    <cellStyle name="Normal 34" xfId="517" xr:uid="{00000000-0005-0000-0000-000081020000}"/>
    <cellStyle name="Normal 34 2" xfId="518" xr:uid="{00000000-0005-0000-0000-000082020000}"/>
    <cellStyle name="Normal 35" xfId="519" xr:uid="{00000000-0005-0000-0000-000083020000}"/>
    <cellStyle name="Normal 35 2" xfId="520" xr:uid="{00000000-0005-0000-0000-000084020000}"/>
    <cellStyle name="Normal 36" xfId="521" xr:uid="{00000000-0005-0000-0000-000085020000}"/>
    <cellStyle name="Normal 36 2" xfId="522" xr:uid="{00000000-0005-0000-0000-000086020000}"/>
    <cellStyle name="Normal 37" xfId="523" xr:uid="{00000000-0005-0000-0000-000087020000}"/>
    <cellStyle name="Normal 37 2" xfId="524" xr:uid="{00000000-0005-0000-0000-000088020000}"/>
    <cellStyle name="Normal 38" xfId="525" xr:uid="{00000000-0005-0000-0000-000089020000}"/>
    <cellStyle name="Normal 38 2" xfId="526" xr:uid="{00000000-0005-0000-0000-00008A020000}"/>
    <cellStyle name="Normal 39" xfId="527" xr:uid="{00000000-0005-0000-0000-00008B020000}"/>
    <cellStyle name="Normal 39 2" xfId="528" xr:uid="{00000000-0005-0000-0000-00008C020000}"/>
    <cellStyle name="Normal 4" xfId="529" xr:uid="{00000000-0005-0000-0000-00008D020000}"/>
    <cellStyle name="Normal 4 2" xfId="530" xr:uid="{00000000-0005-0000-0000-00008E020000}"/>
    <cellStyle name="Normal 4 3" xfId="961" xr:uid="{00000000-0005-0000-0000-00008F020000}"/>
    <cellStyle name="Normal 40" xfId="531" xr:uid="{00000000-0005-0000-0000-000090020000}"/>
    <cellStyle name="Normal 40 2" xfId="532" xr:uid="{00000000-0005-0000-0000-000091020000}"/>
    <cellStyle name="Normal 41" xfId="533" xr:uid="{00000000-0005-0000-0000-000092020000}"/>
    <cellStyle name="Normal 41 2" xfId="534" xr:uid="{00000000-0005-0000-0000-000093020000}"/>
    <cellStyle name="Normal 42" xfId="535" xr:uid="{00000000-0005-0000-0000-000094020000}"/>
    <cellStyle name="Normal 42 2" xfId="536" xr:uid="{00000000-0005-0000-0000-000095020000}"/>
    <cellStyle name="Normal 43" xfId="537" xr:uid="{00000000-0005-0000-0000-000096020000}"/>
    <cellStyle name="Normal 43 2" xfId="538" xr:uid="{00000000-0005-0000-0000-000097020000}"/>
    <cellStyle name="Normal 44" xfId="539" xr:uid="{00000000-0005-0000-0000-000098020000}"/>
    <cellStyle name="Normal 45" xfId="540" xr:uid="{00000000-0005-0000-0000-000099020000}"/>
    <cellStyle name="Normal 46" xfId="541" xr:uid="{00000000-0005-0000-0000-00009A020000}"/>
    <cellStyle name="Normal 47" xfId="542" xr:uid="{00000000-0005-0000-0000-00009B020000}"/>
    <cellStyle name="Normal 47 2" xfId="543" xr:uid="{00000000-0005-0000-0000-00009C020000}"/>
    <cellStyle name="Normal 48" xfId="544" xr:uid="{00000000-0005-0000-0000-00009D020000}"/>
    <cellStyle name="Normal 49" xfId="545" xr:uid="{00000000-0005-0000-0000-00009E020000}"/>
    <cellStyle name="Normal 5" xfId="546" xr:uid="{00000000-0005-0000-0000-00009F020000}"/>
    <cellStyle name="Normal 50" xfId="547" xr:uid="{00000000-0005-0000-0000-0000A0020000}"/>
    <cellStyle name="Normal 51" xfId="548" xr:uid="{00000000-0005-0000-0000-0000A1020000}"/>
    <cellStyle name="Normal 52" xfId="549" xr:uid="{00000000-0005-0000-0000-0000A2020000}"/>
    <cellStyle name="Normal 53" xfId="550" xr:uid="{00000000-0005-0000-0000-0000A3020000}"/>
    <cellStyle name="Normal 54" xfId="551" xr:uid="{00000000-0005-0000-0000-0000A4020000}"/>
    <cellStyle name="Normal 55" xfId="552" xr:uid="{00000000-0005-0000-0000-0000A5020000}"/>
    <cellStyle name="Normal 56" xfId="553" xr:uid="{00000000-0005-0000-0000-0000A6020000}"/>
    <cellStyle name="Normal 56 2" xfId="554" xr:uid="{00000000-0005-0000-0000-0000A7020000}"/>
    <cellStyle name="Normal 57" xfId="555" xr:uid="{00000000-0005-0000-0000-0000A8020000}"/>
    <cellStyle name="Normal 57 2" xfId="556" xr:uid="{00000000-0005-0000-0000-0000A9020000}"/>
    <cellStyle name="Normal 58" xfId="557" xr:uid="{00000000-0005-0000-0000-0000AA020000}"/>
    <cellStyle name="Normal 58 2" xfId="558" xr:uid="{00000000-0005-0000-0000-0000AB020000}"/>
    <cellStyle name="Normal 59" xfId="559" xr:uid="{00000000-0005-0000-0000-0000AC020000}"/>
    <cellStyle name="Normal 59 2" xfId="560" xr:uid="{00000000-0005-0000-0000-0000AD020000}"/>
    <cellStyle name="Normal 6" xfId="561" xr:uid="{00000000-0005-0000-0000-0000AE020000}"/>
    <cellStyle name="Normal 60" xfId="562" xr:uid="{00000000-0005-0000-0000-0000AF020000}"/>
    <cellStyle name="Normal 60 2" xfId="563" xr:uid="{00000000-0005-0000-0000-0000B0020000}"/>
    <cellStyle name="Normal 61" xfId="564" xr:uid="{00000000-0005-0000-0000-0000B1020000}"/>
    <cellStyle name="Normal 61 2" xfId="565" xr:uid="{00000000-0005-0000-0000-0000B2020000}"/>
    <cellStyle name="Normal 62" xfId="566" xr:uid="{00000000-0005-0000-0000-0000B3020000}"/>
    <cellStyle name="Normal 62 2" xfId="567" xr:uid="{00000000-0005-0000-0000-0000B4020000}"/>
    <cellStyle name="Normal 63" xfId="568" xr:uid="{00000000-0005-0000-0000-0000B5020000}"/>
    <cellStyle name="Normal 63 2" xfId="962" xr:uid="{00000000-0005-0000-0000-0000B6020000}"/>
    <cellStyle name="Normal 64" xfId="569" xr:uid="{00000000-0005-0000-0000-0000B7020000}"/>
    <cellStyle name="Normal 65" xfId="570" xr:uid="{00000000-0005-0000-0000-0000B8020000}"/>
    <cellStyle name="Normal 65 2" xfId="963" xr:uid="{00000000-0005-0000-0000-0000B9020000}"/>
    <cellStyle name="Normal 66" xfId="571" xr:uid="{00000000-0005-0000-0000-0000BA020000}"/>
    <cellStyle name="Normal 66 2" xfId="964" xr:uid="{00000000-0005-0000-0000-0000BB020000}"/>
    <cellStyle name="Normal 67" xfId="572" xr:uid="{00000000-0005-0000-0000-0000BC020000}"/>
    <cellStyle name="Normal 67 2" xfId="965" xr:uid="{00000000-0005-0000-0000-0000BD020000}"/>
    <cellStyle name="Normal 68" xfId="573" xr:uid="{00000000-0005-0000-0000-0000BE020000}"/>
    <cellStyle name="Normal 68 2" xfId="966" xr:uid="{00000000-0005-0000-0000-0000BF020000}"/>
    <cellStyle name="Normal 69" xfId="574" xr:uid="{00000000-0005-0000-0000-0000C0020000}"/>
    <cellStyle name="Normal 69 2" xfId="967" xr:uid="{00000000-0005-0000-0000-0000C1020000}"/>
    <cellStyle name="Normal 7" xfId="575" xr:uid="{00000000-0005-0000-0000-0000C2020000}"/>
    <cellStyle name="Normal 70" xfId="576" xr:uid="{00000000-0005-0000-0000-0000C3020000}"/>
    <cellStyle name="Normal 70 2" xfId="968" xr:uid="{00000000-0005-0000-0000-0000C4020000}"/>
    <cellStyle name="Normal 71" xfId="577" xr:uid="{00000000-0005-0000-0000-0000C5020000}"/>
    <cellStyle name="Normal 71 2" xfId="969" xr:uid="{00000000-0005-0000-0000-0000C6020000}"/>
    <cellStyle name="Normal 72" xfId="578" xr:uid="{00000000-0005-0000-0000-0000C7020000}"/>
    <cellStyle name="Normal 72 2" xfId="970" xr:uid="{00000000-0005-0000-0000-0000C8020000}"/>
    <cellStyle name="Normal 73" xfId="579" xr:uid="{00000000-0005-0000-0000-0000C9020000}"/>
    <cellStyle name="Normal 73 2" xfId="971" xr:uid="{00000000-0005-0000-0000-0000CA020000}"/>
    <cellStyle name="Normal 74" xfId="580" xr:uid="{00000000-0005-0000-0000-0000CB020000}"/>
    <cellStyle name="Normal 74 2" xfId="972" xr:uid="{00000000-0005-0000-0000-0000CC020000}"/>
    <cellStyle name="Normal 75" xfId="581" xr:uid="{00000000-0005-0000-0000-0000CD020000}"/>
    <cellStyle name="Normal 75 2" xfId="973" xr:uid="{00000000-0005-0000-0000-0000CE020000}"/>
    <cellStyle name="Normal 76" xfId="582" xr:uid="{00000000-0005-0000-0000-0000CF020000}"/>
    <cellStyle name="Normal 76 2" xfId="974" xr:uid="{00000000-0005-0000-0000-0000D0020000}"/>
    <cellStyle name="Normal 77" xfId="583" xr:uid="{00000000-0005-0000-0000-0000D1020000}"/>
    <cellStyle name="Normal 77 2" xfId="975" xr:uid="{00000000-0005-0000-0000-0000D2020000}"/>
    <cellStyle name="Normal 78" xfId="584" xr:uid="{00000000-0005-0000-0000-0000D3020000}"/>
    <cellStyle name="Normal 78 2" xfId="976" xr:uid="{00000000-0005-0000-0000-0000D4020000}"/>
    <cellStyle name="Normal 79" xfId="585" xr:uid="{00000000-0005-0000-0000-0000D5020000}"/>
    <cellStyle name="Normal 79 2" xfId="977" xr:uid="{00000000-0005-0000-0000-0000D6020000}"/>
    <cellStyle name="Normal 8" xfId="586" xr:uid="{00000000-0005-0000-0000-0000D7020000}"/>
    <cellStyle name="Normal 80" xfId="587" xr:uid="{00000000-0005-0000-0000-0000D8020000}"/>
    <cellStyle name="Normal 80 2" xfId="978" xr:uid="{00000000-0005-0000-0000-0000D9020000}"/>
    <cellStyle name="Normal 81" xfId="588" xr:uid="{00000000-0005-0000-0000-0000DA020000}"/>
    <cellStyle name="Normal 81 2" xfId="979" xr:uid="{00000000-0005-0000-0000-0000DB020000}"/>
    <cellStyle name="Normal 82" xfId="589" xr:uid="{00000000-0005-0000-0000-0000DC020000}"/>
    <cellStyle name="Normal 82 2" xfId="980" xr:uid="{00000000-0005-0000-0000-0000DD020000}"/>
    <cellStyle name="Normal 83" xfId="590" xr:uid="{00000000-0005-0000-0000-0000DE020000}"/>
    <cellStyle name="Normal 83 2" xfId="981" xr:uid="{00000000-0005-0000-0000-0000DF020000}"/>
    <cellStyle name="Normal 84" xfId="591" xr:uid="{00000000-0005-0000-0000-0000E0020000}"/>
    <cellStyle name="Normal 84 2" xfId="982" xr:uid="{00000000-0005-0000-0000-0000E1020000}"/>
    <cellStyle name="Normal 9" xfId="592" xr:uid="{00000000-0005-0000-0000-0000E2020000}"/>
    <cellStyle name="Normale_11-COSSA" xfId="593" xr:uid="{00000000-0005-0000-0000-0000E3020000}"/>
    <cellStyle name="Nota 2" xfId="594" xr:uid="{00000000-0005-0000-0000-0000E4020000}"/>
    <cellStyle name="Nota 3" xfId="595" xr:uid="{00000000-0005-0000-0000-0000E5020000}"/>
    <cellStyle name="Nota 3 2" xfId="983" xr:uid="{00000000-0005-0000-0000-0000E6020000}"/>
    <cellStyle name="Notas" xfId="596" xr:uid="{00000000-0005-0000-0000-0000E7020000}"/>
    <cellStyle name="Notas 2" xfId="597" xr:uid="{00000000-0005-0000-0000-0000E8020000}"/>
    <cellStyle name="Note 2" xfId="598" xr:uid="{00000000-0005-0000-0000-0000E9020000}"/>
    <cellStyle name="num1Style" xfId="599" xr:uid="{00000000-0005-0000-0000-0000EA020000}"/>
    <cellStyle name="num1Style 2" xfId="984" xr:uid="{00000000-0005-0000-0000-0000EB020000}"/>
    <cellStyle name="num1Styleb" xfId="600" xr:uid="{00000000-0005-0000-0000-0000EC020000}"/>
    <cellStyle name="num4Style" xfId="601" xr:uid="{00000000-0005-0000-0000-0000ED020000}"/>
    <cellStyle name="num4Style 2" xfId="985" xr:uid="{00000000-0005-0000-0000-0000EE020000}"/>
    <cellStyle name="num4Styleb" xfId="602" xr:uid="{00000000-0005-0000-0000-0000EF020000}"/>
    <cellStyle name="numPStyle" xfId="603" xr:uid="{00000000-0005-0000-0000-0000F0020000}"/>
    <cellStyle name="numPStyle 2" xfId="986" xr:uid="{00000000-0005-0000-0000-0000F1020000}"/>
    <cellStyle name="numPStyleb" xfId="604" xr:uid="{00000000-0005-0000-0000-0000F2020000}"/>
    <cellStyle name="numXStyle" xfId="605" xr:uid="{00000000-0005-0000-0000-0000F3020000}"/>
    <cellStyle name="numXStyle 2" xfId="987" xr:uid="{00000000-0005-0000-0000-0000F4020000}"/>
    <cellStyle name="numXStyleb" xfId="606" xr:uid="{00000000-0005-0000-0000-0000F5020000}"/>
    <cellStyle name="O1" xfId="607" xr:uid="{00000000-0005-0000-0000-0000F6020000}"/>
    <cellStyle name="O2" xfId="608" xr:uid="{00000000-0005-0000-0000-0000F7020000}"/>
    <cellStyle name="O3" xfId="609" xr:uid="{00000000-0005-0000-0000-0000F8020000}"/>
    <cellStyle name="O4" xfId="610" xr:uid="{00000000-0005-0000-0000-0000F9020000}"/>
    <cellStyle name="Œ…‹æØ‚è [0.00]_Region Orders (2)" xfId="611" xr:uid="{00000000-0005-0000-0000-0000FA020000}"/>
    <cellStyle name="Œ…‹æØ‚è_Region Orders (2)" xfId="612" xr:uid="{00000000-0005-0000-0000-0000FB020000}"/>
    <cellStyle name="Output 2" xfId="613" xr:uid="{00000000-0005-0000-0000-0000FC020000}"/>
    <cellStyle name="Output Amounts" xfId="614" xr:uid="{00000000-0005-0000-0000-0000FD020000}"/>
    <cellStyle name="Output Column Headings" xfId="615" xr:uid="{00000000-0005-0000-0000-0000FE020000}"/>
    <cellStyle name="Output Line Items" xfId="616" xr:uid="{00000000-0005-0000-0000-0000FF020000}"/>
    <cellStyle name="Output Report Heading" xfId="617" xr:uid="{00000000-0005-0000-0000-000000030000}"/>
    <cellStyle name="Output Report Title" xfId="618" xr:uid="{00000000-0005-0000-0000-000001030000}"/>
    <cellStyle name="Parent" xfId="619" xr:uid="{00000000-0005-0000-0000-000002030000}"/>
    <cellStyle name="pb_page_heading_LS" xfId="620" xr:uid="{00000000-0005-0000-0000-000003030000}"/>
    <cellStyle name="per.style" xfId="621" xr:uid="{00000000-0005-0000-0000-000004030000}"/>
    <cellStyle name="Percen - Style2" xfId="622" xr:uid="{00000000-0005-0000-0000-000005030000}"/>
    <cellStyle name="Percent [0]" xfId="623" xr:uid="{00000000-0005-0000-0000-000006030000}"/>
    <cellStyle name="Percent [00]" xfId="624" xr:uid="{00000000-0005-0000-0000-000007030000}"/>
    <cellStyle name="Percent [2]" xfId="625" xr:uid="{00000000-0005-0000-0000-000008030000}"/>
    <cellStyle name="Percent [2] 2" xfId="626" xr:uid="{00000000-0005-0000-0000-000009030000}"/>
    <cellStyle name="Percent 10" xfId="627" xr:uid="{00000000-0005-0000-0000-00000A030000}"/>
    <cellStyle name="Percent 10 2" xfId="628" xr:uid="{00000000-0005-0000-0000-00000B030000}"/>
    <cellStyle name="Percent 11" xfId="629" xr:uid="{00000000-0005-0000-0000-00000C030000}"/>
    <cellStyle name="Percent 11 2" xfId="630" xr:uid="{00000000-0005-0000-0000-00000D030000}"/>
    <cellStyle name="Percent 12" xfId="631" xr:uid="{00000000-0005-0000-0000-00000E030000}"/>
    <cellStyle name="Percent 12 2" xfId="632" xr:uid="{00000000-0005-0000-0000-00000F030000}"/>
    <cellStyle name="Percent 13" xfId="633" xr:uid="{00000000-0005-0000-0000-000010030000}"/>
    <cellStyle name="Percent 13 2" xfId="634" xr:uid="{00000000-0005-0000-0000-000011030000}"/>
    <cellStyle name="Percent 14" xfId="635" xr:uid="{00000000-0005-0000-0000-000012030000}"/>
    <cellStyle name="Percent 14 2" xfId="636" xr:uid="{00000000-0005-0000-0000-000013030000}"/>
    <cellStyle name="Percent 15" xfId="637" xr:uid="{00000000-0005-0000-0000-000014030000}"/>
    <cellStyle name="Percent 15 2" xfId="638" xr:uid="{00000000-0005-0000-0000-000015030000}"/>
    <cellStyle name="Percent 16" xfId="639" xr:uid="{00000000-0005-0000-0000-000016030000}"/>
    <cellStyle name="Percent 16 2" xfId="640" xr:uid="{00000000-0005-0000-0000-000017030000}"/>
    <cellStyle name="Percent 17" xfId="641" xr:uid="{00000000-0005-0000-0000-000018030000}"/>
    <cellStyle name="Percent 17 2" xfId="642" xr:uid="{00000000-0005-0000-0000-000019030000}"/>
    <cellStyle name="Percent 18" xfId="643" xr:uid="{00000000-0005-0000-0000-00001A030000}"/>
    <cellStyle name="Percent 18 2" xfId="644" xr:uid="{00000000-0005-0000-0000-00001B030000}"/>
    <cellStyle name="Percent 19" xfId="645" xr:uid="{00000000-0005-0000-0000-00001C030000}"/>
    <cellStyle name="Percent 19 2" xfId="646" xr:uid="{00000000-0005-0000-0000-00001D030000}"/>
    <cellStyle name="Percent 2" xfId="647" xr:uid="{00000000-0005-0000-0000-00001E030000}"/>
    <cellStyle name="Percent 2 2" xfId="648" xr:uid="{00000000-0005-0000-0000-00001F030000}"/>
    <cellStyle name="Percent 2 3" xfId="649" xr:uid="{00000000-0005-0000-0000-000020030000}"/>
    <cellStyle name="Percent 20" xfId="650" xr:uid="{00000000-0005-0000-0000-000021030000}"/>
    <cellStyle name="Percent 20 2" xfId="651" xr:uid="{00000000-0005-0000-0000-000022030000}"/>
    <cellStyle name="Percent 21" xfId="652" xr:uid="{00000000-0005-0000-0000-000023030000}"/>
    <cellStyle name="Percent 21 2" xfId="653" xr:uid="{00000000-0005-0000-0000-000024030000}"/>
    <cellStyle name="Percent 22" xfId="654" xr:uid="{00000000-0005-0000-0000-000025030000}"/>
    <cellStyle name="Percent 22 2" xfId="655" xr:uid="{00000000-0005-0000-0000-000026030000}"/>
    <cellStyle name="Percent 23" xfId="656" xr:uid="{00000000-0005-0000-0000-000027030000}"/>
    <cellStyle name="Percent 23 2" xfId="657" xr:uid="{00000000-0005-0000-0000-000028030000}"/>
    <cellStyle name="Percent 24" xfId="658" xr:uid="{00000000-0005-0000-0000-000029030000}"/>
    <cellStyle name="Percent 24 2" xfId="659" xr:uid="{00000000-0005-0000-0000-00002A030000}"/>
    <cellStyle name="Percent 25" xfId="660" xr:uid="{00000000-0005-0000-0000-00002B030000}"/>
    <cellStyle name="Percent 25 2" xfId="661" xr:uid="{00000000-0005-0000-0000-00002C030000}"/>
    <cellStyle name="Percent 26" xfId="662" xr:uid="{00000000-0005-0000-0000-00002D030000}"/>
    <cellStyle name="Percent 26 2" xfId="663" xr:uid="{00000000-0005-0000-0000-00002E030000}"/>
    <cellStyle name="Percent 27" xfId="664" xr:uid="{00000000-0005-0000-0000-00002F030000}"/>
    <cellStyle name="Percent 27 2" xfId="665" xr:uid="{00000000-0005-0000-0000-000030030000}"/>
    <cellStyle name="Percent 28" xfId="666" xr:uid="{00000000-0005-0000-0000-000031030000}"/>
    <cellStyle name="Percent 28 2" xfId="667" xr:uid="{00000000-0005-0000-0000-000032030000}"/>
    <cellStyle name="Percent 29" xfId="668" xr:uid="{00000000-0005-0000-0000-000033030000}"/>
    <cellStyle name="Percent 29 2" xfId="669" xr:uid="{00000000-0005-0000-0000-000034030000}"/>
    <cellStyle name="Percent 3" xfId="670" xr:uid="{00000000-0005-0000-0000-000035030000}"/>
    <cellStyle name="Percent 30" xfId="671" xr:uid="{00000000-0005-0000-0000-000036030000}"/>
    <cellStyle name="Percent 30 2" xfId="672" xr:uid="{00000000-0005-0000-0000-000037030000}"/>
    <cellStyle name="Percent 31" xfId="673" xr:uid="{00000000-0005-0000-0000-000038030000}"/>
    <cellStyle name="Percent 31 2" xfId="674" xr:uid="{00000000-0005-0000-0000-000039030000}"/>
    <cellStyle name="Percent 32" xfId="675" xr:uid="{00000000-0005-0000-0000-00003A030000}"/>
    <cellStyle name="Percent 32 2" xfId="676" xr:uid="{00000000-0005-0000-0000-00003B030000}"/>
    <cellStyle name="Percent 33" xfId="677" xr:uid="{00000000-0005-0000-0000-00003C030000}"/>
    <cellStyle name="Percent 33 2" xfId="678" xr:uid="{00000000-0005-0000-0000-00003D030000}"/>
    <cellStyle name="Percent 34" xfId="679" xr:uid="{00000000-0005-0000-0000-00003E030000}"/>
    <cellStyle name="Percent 34 2" xfId="680" xr:uid="{00000000-0005-0000-0000-00003F030000}"/>
    <cellStyle name="Percent 35" xfId="681" xr:uid="{00000000-0005-0000-0000-000040030000}"/>
    <cellStyle name="Percent 36" xfId="682" xr:uid="{00000000-0005-0000-0000-000041030000}"/>
    <cellStyle name="Percent 37" xfId="683" xr:uid="{00000000-0005-0000-0000-000042030000}"/>
    <cellStyle name="Percent 38" xfId="684" xr:uid="{00000000-0005-0000-0000-000043030000}"/>
    <cellStyle name="Percent 39" xfId="685" xr:uid="{00000000-0005-0000-0000-000044030000}"/>
    <cellStyle name="Percent 4" xfId="686" xr:uid="{00000000-0005-0000-0000-000045030000}"/>
    <cellStyle name="Percent 4 2" xfId="687" xr:uid="{00000000-0005-0000-0000-000046030000}"/>
    <cellStyle name="Percent 5" xfId="688" xr:uid="{00000000-0005-0000-0000-000047030000}"/>
    <cellStyle name="Percent 5 2" xfId="689" xr:uid="{00000000-0005-0000-0000-000048030000}"/>
    <cellStyle name="Percent 6" xfId="690" xr:uid="{00000000-0005-0000-0000-000049030000}"/>
    <cellStyle name="Percent 6 2" xfId="691" xr:uid="{00000000-0005-0000-0000-00004A030000}"/>
    <cellStyle name="Percent 7" xfId="692" xr:uid="{00000000-0005-0000-0000-00004B030000}"/>
    <cellStyle name="Percent 7 2" xfId="693" xr:uid="{00000000-0005-0000-0000-00004C030000}"/>
    <cellStyle name="Percent 8" xfId="694" xr:uid="{00000000-0005-0000-0000-00004D030000}"/>
    <cellStyle name="Percent 8 2" xfId="695" xr:uid="{00000000-0005-0000-0000-00004E030000}"/>
    <cellStyle name="Percent 9" xfId="696" xr:uid="{00000000-0005-0000-0000-00004F030000}"/>
    <cellStyle name="Percent 9 2" xfId="697" xr:uid="{00000000-0005-0000-0000-000050030000}"/>
    <cellStyle name="Percentuale_Foglio1" xfId="698" xr:uid="{00000000-0005-0000-0000-000051030000}"/>
    <cellStyle name="Popis" xfId="699" xr:uid="{00000000-0005-0000-0000-000052030000}"/>
    <cellStyle name="Porcentual_DRFC2M Template" xfId="700" xr:uid="{00000000-0005-0000-0000-000053030000}"/>
    <cellStyle name="PrePop Currency (0)" xfId="701" xr:uid="{00000000-0005-0000-0000-000054030000}"/>
    <cellStyle name="PrePop Currency (2)" xfId="702" xr:uid="{00000000-0005-0000-0000-000055030000}"/>
    <cellStyle name="PrePop Units (0)" xfId="703" xr:uid="{00000000-0005-0000-0000-000056030000}"/>
    <cellStyle name="PrePop Units (1)" xfId="704" xr:uid="{00000000-0005-0000-0000-000057030000}"/>
    <cellStyle name="PrePop Units (2)" xfId="705" xr:uid="{00000000-0005-0000-0000-000058030000}"/>
    <cellStyle name="pricing" xfId="706" xr:uid="{00000000-0005-0000-0000-000059030000}"/>
    <cellStyle name="PSChar" xfId="707" xr:uid="{00000000-0005-0000-0000-00005A030000}"/>
    <cellStyle name="Reverse" xfId="708" xr:uid="{00000000-0005-0000-0000-00005B030000}"/>
    <cellStyle name="RevList" xfId="709" xr:uid="{00000000-0005-0000-0000-00005C030000}"/>
    <cellStyle name="Saída 2" xfId="710" xr:uid="{00000000-0005-0000-0000-00005D030000}"/>
    <cellStyle name="Salida" xfId="711" xr:uid="{00000000-0005-0000-0000-00005E030000}"/>
    <cellStyle name="Sb" xfId="712" xr:uid="{00000000-0005-0000-0000-00005F030000}"/>
    <cellStyle name="Sb - Date" xfId="713" xr:uid="{00000000-0005-0000-0000-000060030000}"/>
    <cellStyle name="Sb - Date 2" xfId="714" xr:uid="{00000000-0005-0000-0000-000061030000}"/>
    <cellStyle name="Sb - Text" xfId="715" xr:uid="{00000000-0005-0000-0000-000062030000}"/>
    <cellStyle name="Sb - Text 2" xfId="716" xr:uid="{00000000-0005-0000-0000-000063030000}"/>
    <cellStyle name="Sb 2" xfId="717" xr:uid="{00000000-0005-0000-0000-000064030000}"/>
    <cellStyle name="Sb 3" xfId="718" xr:uid="{00000000-0005-0000-0000-000065030000}"/>
    <cellStyle name="Sb 4" xfId="719" xr:uid="{00000000-0005-0000-0000-000066030000}"/>
    <cellStyle name="Sb 5" xfId="720" xr:uid="{00000000-0005-0000-0000-000067030000}"/>
    <cellStyle name="Sb 6" xfId="721" xr:uid="{00000000-0005-0000-0000-000068030000}"/>
    <cellStyle name="Sb Date" xfId="722" xr:uid="{00000000-0005-0000-0000-000069030000}"/>
    <cellStyle name="Sb Date 2" xfId="723" xr:uid="{00000000-0005-0000-0000-00006A030000}"/>
    <cellStyle name="Sb Text" xfId="724" xr:uid="{00000000-0005-0000-0000-00006B030000}"/>
    <cellStyle name="Sb Text 2" xfId="725" xr:uid="{00000000-0005-0000-0000-00006C030000}"/>
    <cellStyle name="SELSKAPSNAVN" xfId="726" xr:uid="{00000000-0005-0000-0000-00006D030000}"/>
    <cellStyle name="Sentence Case" xfId="727" xr:uid="{00000000-0005-0000-0000-00006E030000}"/>
    <cellStyle name="Sentence Case 2" xfId="728" xr:uid="{00000000-0005-0000-0000-00006F030000}"/>
    <cellStyle name="Sledovaný hypertextový odkaz" xfId="729" xr:uid="{00000000-0005-0000-0000-000070030000}"/>
    <cellStyle name="Sous-Total" xfId="730" xr:uid="{00000000-0005-0000-0000-000071030000}"/>
    <cellStyle name="stage" xfId="731" xr:uid="{00000000-0005-0000-0000-000072030000}"/>
    <cellStyle name="Standard_244" xfId="732" xr:uid="{00000000-0005-0000-0000-000073030000}"/>
    <cellStyle name="step" xfId="733" xr:uid="{00000000-0005-0000-0000-000074030000}"/>
    <cellStyle name="Style 1" xfId="734" xr:uid="{00000000-0005-0000-0000-000075030000}"/>
    <cellStyle name="Style 2" xfId="735" xr:uid="{00000000-0005-0000-0000-000076030000}"/>
    <cellStyle name="Style 2 2" xfId="736" xr:uid="{00000000-0005-0000-0000-000077030000}"/>
    <cellStyle name="Style 21" xfId="737" xr:uid="{00000000-0005-0000-0000-000078030000}"/>
    <cellStyle name="Style 21 2" xfId="988" xr:uid="{00000000-0005-0000-0000-000079030000}"/>
    <cellStyle name="Style 22" xfId="738" xr:uid="{00000000-0005-0000-0000-00007A030000}"/>
    <cellStyle name="Style 22 2" xfId="989" xr:uid="{00000000-0005-0000-0000-00007B030000}"/>
    <cellStyle name="Style 23" xfId="739" xr:uid="{00000000-0005-0000-0000-00007C030000}"/>
    <cellStyle name="Style 23 2" xfId="990" xr:uid="{00000000-0005-0000-0000-00007D030000}"/>
    <cellStyle name="Style 24" xfId="740" xr:uid="{00000000-0005-0000-0000-00007E030000}"/>
    <cellStyle name="Style 24 2" xfId="991" xr:uid="{00000000-0005-0000-0000-00007F030000}"/>
    <cellStyle name="Style 25" xfId="741" xr:uid="{00000000-0005-0000-0000-000080030000}"/>
    <cellStyle name="Style 25 2" xfId="992" xr:uid="{00000000-0005-0000-0000-000081030000}"/>
    <cellStyle name="Style 26" xfId="742" xr:uid="{00000000-0005-0000-0000-000082030000}"/>
    <cellStyle name="Style 26 2" xfId="993" xr:uid="{00000000-0005-0000-0000-000083030000}"/>
    <cellStyle name="Style 27" xfId="743" xr:uid="{00000000-0005-0000-0000-000084030000}"/>
    <cellStyle name="Style 27 2" xfId="994" xr:uid="{00000000-0005-0000-0000-000085030000}"/>
    <cellStyle name="Style 28" xfId="744" xr:uid="{00000000-0005-0000-0000-000086030000}"/>
    <cellStyle name="Style 28 2" xfId="995" xr:uid="{00000000-0005-0000-0000-000087030000}"/>
    <cellStyle name="Style 29" xfId="745" xr:uid="{00000000-0005-0000-0000-000088030000}"/>
    <cellStyle name="Style 29 2" xfId="996" xr:uid="{00000000-0005-0000-0000-000089030000}"/>
    <cellStyle name="Style 3" xfId="746" xr:uid="{00000000-0005-0000-0000-00008A030000}"/>
    <cellStyle name="Style 30" xfId="747" xr:uid="{00000000-0005-0000-0000-00008B030000}"/>
    <cellStyle name="Style 30 2" xfId="997" xr:uid="{00000000-0005-0000-0000-00008C030000}"/>
    <cellStyle name="Style 31" xfId="748" xr:uid="{00000000-0005-0000-0000-00008D030000}"/>
    <cellStyle name="Style 32" xfId="749" xr:uid="{00000000-0005-0000-0000-00008E030000}"/>
    <cellStyle name="Style 33" xfId="750" xr:uid="{00000000-0005-0000-0000-00008F030000}"/>
    <cellStyle name="Style 34" xfId="751" xr:uid="{00000000-0005-0000-0000-000090030000}"/>
    <cellStyle name="Style 35" xfId="752" xr:uid="{00000000-0005-0000-0000-000091030000}"/>
    <cellStyle name="Style 36" xfId="753" xr:uid="{00000000-0005-0000-0000-000092030000}"/>
    <cellStyle name="Style 37" xfId="754" xr:uid="{00000000-0005-0000-0000-000093030000}"/>
    <cellStyle name="Style 38" xfId="755" xr:uid="{00000000-0005-0000-0000-000094030000}"/>
    <cellStyle name="Style 39" xfId="756" xr:uid="{00000000-0005-0000-0000-000095030000}"/>
    <cellStyle name="Style 4" xfId="757" xr:uid="{00000000-0005-0000-0000-000096030000}"/>
    <cellStyle name="Style 40" xfId="758" xr:uid="{00000000-0005-0000-0000-000097030000}"/>
    <cellStyle name="Style 41" xfId="759" xr:uid="{00000000-0005-0000-0000-000098030000}"/>
    <cellStyle name="Style 42" xfId="760" xr:uid="{00000000-0005-0000-0000-000099030000}"/>
    <cellStyle name="Style 43" xfId="761" xr:uid="{00000000-0005-0000-0000-00009A030000}"/>
    <cellStyle name="Style 44" xfId="762" xr:uid="{00000000-0005-0000-0000-00009B030000}"/>
    <cellStyle name="Style 45" xfId="763" xr:uid="{00000000-0005-0000-0000-00009C030000}"/>
    <cellStyle name="Style 46" xfId="764" xr:uid="{00000000-0005-0000-0000-00009D030000}"/>
    <cellStyle name="Style 46 2" xfId="998" xr:uid="{00000000-0005-0000-0000-00009E030000}"/>
    <cellStyle name="Style 47" xfId="765" xr:uid="{00000000-0005-0000-0000-00009F030000}"/>
    <cellStyle name="Style 48" xfId="766" xr:uid="{00000000-0005-0000-0000-0000A0030000}"/>
    <cellStyle name="Style 48 2" xfId="999" xr:uid="{00000000-0005-0000-0000-0000A1030000}"/>
    <cellStyle name="Style 49" xfId="767" xr:uid="{00000000-0005-0000-0000-0000A2030000}"/>
    <cellStyle name="Style 50" xfId="768" xr:uid="{00000000-0005-0000-0000-0000A3030000}"/>
    <cellStyle name="Style 51" xfId="769" xr:uid="{00000000-0005-0000-0000-0000A4030000}"/>
    <cellStyle name="Style 51 2" xfId="1000" xr:uid="{00000000-0005-0000-0000-0000A5030000}"/>
    <cellStyle name="Style 52" xfId="770" xr:uid="{00000000-0005-0000-0000-0000A6030000}"/>
    <cellStyle name="Style 53" xfId="771" xr:uid="{00000000-0005-0000-0000-0000A7030000}"/>
    <cellStyle name="Style 54" xfId="772" xr:uid="{00000000-0005-0000-0000-0000A8030000}"/>
    <cellStyle name="Style 55" xfId="773" xr:uid="{00000000-0005-0000-0000-0000A9030000}"/>
    <cellStyle name="Style 56" xfId="774" xr:uid="{00000000-0005-0000-0000-0000AA030000}"/>
    <cellStyle name="Style 57" xfId="775" xr:uid="{00000000-0005-0000-0000-0000AB030000}"/>
    <cellStyle name="Style 58" xfId="776" xr:uid="{00000000-0005-0000-0000-0000AC030000}"/>
    <cellStyle name="Style 59" xfId="777" xr:uid="{00000000-0005-0000-0000-0000AD030000}"/>
    <cellStyle name="Style 60" xfId="778" xr:uid="{00000000-0005-0000-0000-0000AE030000}"/>
    <cellStyle name="Style 61" xfId="779" xr:uid="{00000000-0005-0000-0000-0000AF030000}"/>
    <cellStyle name="Style 62" xfId="780" xr:uid="{00000000-0005-0000-0000-0000B0030000}"/>
    <cellStyle name="Style 62 2" xfId="1001" xr:uid="{00000000-0005-0000-0000-0000B1030000}"/>
    <cellStyle name="Style 63" xfId="781" xr:uid="{00000000-0005-0000-0000-0000B2030000}"/>
    <cellStyle name="Style 63 2" xfId="1002" xr:uid="{00000000-0005-0000-0000-0000B3030000}"/>
    <cellStyle name="Style 64" xfId="782" xr:uid="{00000000-0005-0000-0000-0000B4030000}"/>
    <cellStyle name="Style 64 2" xfId="1003" xr:uid="{00000000-0005-0000-0000-0000B5030000}"/>
    <cellStyle name="Style 65" xfId="783" xr:uid="{00000000-0005-0000-0000-0000B6030000}"/>
    <cellStyle name="Style 65 2" xfId="1004" xr:uid="{00000000-0005-0000-0000-0000B7030000}"/>
    <cellStyle name="Style 66" xfId="784" xr:uid="{00000000-0005-0000-0000-0000B8030000}"/>
    <cellStyle name="Style 67" xfId="785" xr:uid="{00000000-0005-0000-0000-0000B9030000}"/>
    <cellStyle name="Style 68" xfId="786" xr:uid="{00000000-0005-0000-0000-0000BA030000}"/>
    <cellStyle name="Style 68 2" xfId="1005" xr:uid="{00000000-0005-0000-0000-0000BB030000}"/>
    <cellStyle name="Style 69" xfId="787" xr:uid="{00000000-0005-0000-0000-0000BC030000}"/>
    <cellStyle name="Style 70" xfId="788" xr:uid="{00000000-0005-0000-0000-0000BD030000}"/>
    <cellStyle name="Style 70 2" xfId="1006" xr:uid="{00000000-0005-0000-0000-0000BE030000}"/>
    <cellStyle name="Style 71" xfId="789" xr:uid="{00000000-0005-0000-0000-0000BF030000}"/>
    <cellStyle name="Style 71 2" xfId="1007" xr:uid="{00000000-0005-0000-0000-0000C0030000}"/>
    <cellStyle name="Style 72" xfId="790" xr:uid="{00000000-0005-0000-0000-0000C1030000}"/>
    <cellStyle name="Style 72 2" xfId="1008" xr:uid="{00000000-0005-0000-0000-0000C2030000}"/>
    <cellStyle name="Style 73" xfId="791" xr:uid="{00000000-0005-0000-0000-0000C3030000}"/>
    <cellStyle name="Style 73 2" xfId="1009" xr:uid="{00000000-0005-0000-0000-0000C4030000}"/>
    <cellStyle name="Style 74" xfId="792" xr:uid="{00000000-0005-0000-0000-0000C5030000}"/>
    <cellStyle name="Style 74 2" xfId="1010" xr:uid="{00000000-0005-0000-0000-0000C6030000}"/>
    <cellStyle name="Style 75" xfId="793" xr:uid="{00000000-0005-0000-0000-0000C7030000}"/>
    <cellStyle name="Style 75 2" xfId="1011" xr:uid="{00000000-0005-0000-0000-0000C8030000}"/>
    <cellStyle name="Style 76" xfId="794" xr:uid="{00000000-0005-0000-0000-0000C9030000}"/>
    <cellStyle name="Style 76 2" xfId="1012" xr:uid="{00000000-0005-0000-0000-0000CA030000}"/>
    <cellStyle name="Style 77" xfId="795" xr:uid="{00000000-0005-0000-0000-0000CB030000}"/>
    <cellStyle name="Style 77 2" xfId="1013" xr:uid="{00000000-0005-0000-0000-0000CC030000}"/>
    <cellStyle name="Style 78" xfId="796" xr:uid="{00000000-0005-0000-0000-0000CD030000}"/>
    <cellStyle name="Style 78 2" xfId="1014" xr:uid="{00000000-0005-0000-0000-0000CE030000}"/>
    <cellStyle name="Style 79" xfId="797" xr:uid="{00000000-0005-0000-0000-0000CF030000}"/>
    <cellStyle name="Style 79 2" xfId="1015" xr:uid="{00000000-0005-0000-0000-0000D0030000}"/>
    <cellStyle name="Style 80" xfId="798" xr:uid="{00000000-0005-0000-0000-0000D1030000}"/>
    <cellStyle name="Style 81" xfId="799" xr:uid="{00000000-0005-0000-0000-0000D2030000}"/>
    <cellStyle name="Style 82" xfId="800" xr:uid="{00000000-0005-0000-0000-0000D3030000}"/>
    <cellStyle name="Style 83" xfId="801" xr:uid="{00000000-0005-0000-0000-0000D4030000}"/>
    <cellStyle name="Style 84" xfId="802" xr:uid="{00000000-0005-0000-0000-0000D5030000}"/>
    <cellStyle name="Style 85" xfId="803" xr:uid="{00000000-0005-0000-0000-0000D6030000}"/>
    <cellStyle name="Style 86" xfId="804" xr:uid="{00000000-0005-0000-0000-0000D7030000}"/>
    <cellStyle name="Style 87" xfId="805" xr:uid="{00000000-0005-0000-0000-0000D8030000}"/>
    <cellStyle name="Style 88" xfId="806" xr:uid="{00000000-0005-0000-0000-0000D9030000}"/>
    <cellStyle name="Style 89" xfId="807" xr:uid="{00000000-0005-0000-0000-0000DA030000}"/>
    <cellStyle name="Subtotal" xfId="808" xr:uid="{00000000-0005-0000-0000-0000DB030000}"/>
    <cellStyle name="TALLENE" xfId="809" xr:uid="{00000000-0005-0000-0000-0000DC030000}"/>
    <cellStyle name="Text Indent A" xfId="810" xr:uid="{00000000-0005-0000-0000-0000DD030000}"/>
    <cellStyle name="Text Indent B" xfId="811" xr:uid="{00000000-0005-0000-0000-0000DE030000}"/>
    <cellStyle name="Text Indent C" xfId="812" xr:uid="{00000000-0005-0000-0000-0000DF030000}"/>
    <cellStyle name="Texto de advertencia" xfId="813" xr:uid="{00000000-0005-0000-0000-0000E0030000}"/>
    <cellStyle name="Texto de Aviso 2" xfId="814" xr:uid="{00000000-0005-0000-0000-0000E1030000}"/>
    <cellStyle name="Texto Explicativo 2" xfId="815" xr:uid="{00000000-0005-0000-0000-0000E2030000}"/>
    <cellStyle name="Título 1 2" xfId="816" xr:uid="{00000000-0005-0000-0000-0000E3030000}"/>
    <cellStyle name="Título 2 2" xfId="817" xr:uid="{00000000-0005-0000-0000-0000E4030000}"/>
    <cellStyle name="Título 3 2" xfId="818" xr:uid="{00000000-0005-0000-0000-0000E5030000}"/>
    <cellStyle name="Título 4 2" xfId="819" xr:uid="{00000000-0005-0000-0000-0000E6030000}"/>
    <cellStyle name="Título 5" xfId="820" xr:uid="{00000000-0005-0000-0000-0000E7030000}"/>
    <cellStyle name="Total" xfId="821" builtinId="25" customBuiltin="1"/>
    <cellStyle name="Total 2" xfId="822" xr:uid="{00000000-0005-0000-0000-0000E9030000}"/>
    <cellStyle name="Unprot" xfId="823" xr:uid="{00000000-0005-0000-0000-0000EA030000}"/>
    <cellStyle name="Unprot 2" xfId="1016" xr:uid="{00000000-0005-0000-0000-0000EB030000}"/>
    <cellStyle name="Unprot$" xfId="824" xr:uid="{00000000-0005-0000-0000-0000EC030000}"/>
    <cellStyle name="Unprot$ 2" xfId="1017" xr:uid="{00000000-0005-0000-0000-0000ED030000}"/>
    <cellStyle name="Unprotect" xfId="825" xr:uid="{00000000-0005-0000-0000-0000EE030000}"/>
    <cellStyle name="Valuta (0)_03-02" xfId="826" xr:uid="{00000000-0005-0000-0000-0000EF030000}"/>
    <cellStyle name="Valuta_11-COSSA" xfId="827" xr:uid="{00000000-0005-0000-0000-0000F0030000}"/>
    <cellStyle name="Währung [0]_2001 Europe Discussion 010608" xfId="828" xr:uid="{00000000-0005-0000-0000-0000F1030000}"/>
    <cellStyle name="Währung_2001 Europe Discussion 010608" xfId="829" xr:uid="{00000000-0005-0000-0000-0000F2030000}"/>
    <cellStyle name="Warning Text 2" xfId="830" xr:uid="{00000000-0005-0000-0000-0000F3030000}"/>
    <cellStyle name="표준_journal voucher" xfId="831" xr:uid="{00000000-0005-0000-0000-0000F4030000}"/>
    <cellStyle name="桁区切り [0.00]_名簿Sep 10" xfId="832" xr:uid="{00000000-0005-0000-0000-0000F5030000}"/>
    <cellStyle name="桁区切り_05単価表" xfId="833" xr:uid="{00000000-0005-0000-0000-0000F6030000}"/>
    <cellStyle name="標準_05単価表" xfId="834" xr:uid="{00000000-0005-0000-0000-0000F7030000}"/>
    <cellStyle name="通貨 [0.00]_名簿Sep 10" xfId="835" xr:uid="{00000000-0005-0000-0000-0000F8030000}"/>
    <cellStyle name="通貨_2006-2009部材価格見通Rev0" xfId="836" xr:uid="{00000000-0005-0000-0000-0000F903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13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12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11" Type="http://schemas.openxmlformats.org/officeDocument/2006/relationships/customXml" Target="../customXml/item1.xml"/><Relationship Id="rId5" Type="http://schemas.openxmlformats.org/officeDocument/2006/relationships/sheetMetadata" Target="metadata.xml"/><Relationship Id="rId10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40</xdr:col>
      <xdr:colOff>156633</xdr:colOff>
      <xdr:row>0</xdr:row>
      <xdr:rowOff>103571</xdr:rowOff>
    </xdr:from>
    <xdr:to>
      <xdr:col>41</xdr:col>
      <xdr:colOff>2751</xdr:colOff>
      <xdr:row>0</xdr:row>
      <xdr:rowOff>333799</xdr:rowOff>
    </xdr:to>
    <xdr:pic>
      <xdr:nvPicPr>
        <xdr:cNvPr id="2" name="Picture 2" descr="comp2c">
          <a:extLst>
            <a:ext uri="{FF2B5EF4-FFF2-40B4-BE49-F238E27FC236}">
              <a16:creationId xmlns:a16="http://schemas.microsoft.com/office/drawing/2014/main" id="{29F1A469-B515-4061-8A14-0CD0509776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48133" y="103571"/>
          <a:ext cx="1560618" cy="2334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08B7F0-1480-4916-A963-442135279BCE}">
  <sheetPr>
    <pageSetUpPr fitToPage="1"/>
  </sheetPr>
  <dimension ref="A1:CJ83"/>
  <sheetViews>
    <sheetView showGridLines="0" tabSelected="1" zoomScale="90" zoomScaleNormal="90" zoomScaleSheetLayoutView="100" workbookViewId="0">
      <selection activeCell="S4" sqref="S4:AF5"/>
    </sheetView>
  </sheetViews>
  <sheetFormatPr defaultColWidth="1.7109375" defaultRowHeight="12.75"/>
  <cols>
    <col min="3" max="3" width="0.85546875" customWidth="1"/>
    <col min="5" max="5" width="1" customWidth="1"/>
    <col min="7" max="7" width="1.5703125" customWidth="1"/>
    <col min="10" max="10" width="3.140625" customWidth="1"/>
    <col min="12" max="12" width="23.5703125" customWidth="1"/>
    <col min="13" max="13" width="0.140625" customWidth="1"/>
    <col min="14" max="14" width="5.42578125" hidden="1" customWidth="1"/>
    <col min="15" max="15" width="1.140625" hidden="1" customWidth="1"/>
    <col min="16" max="16" width="22.42578125" customWidth="1"/>
    <col min="20" max="20" width="6.85546875" customWidth="1"/>
    <col min="21" max="21" width="3.140625" customWidth="1"/>
    <col min="22" max="22" width="1.7109375" hidden="1" customWidth="1"/>
    <col min="23" max="23" width="1.140625" customWidth="1"/>
    <col min="24" max="25" width="1.42578125" customWidth="1"/>
    <col min="26" max="26" width="3.5703125" customWidth="1"/>
    <col min="27" max="31" width="1.42578125" customWidth="1"/>
    <col min="32" max="32" width="2.28515625" customWidth="1"/>
    <col min="35" max="35" width="5.5703125" customWidth="1"/>
    <col min="36" max="36" width="0.140625" customWidth="1"/>
    <col min="37" max="37" width="1.5703125" customWidth="1"/>
    <col min="38" max="38" width="1.7109375" hidden="1" customWidth="1"/>
    <col min="39" max="39" width="1.85546875" customWidth="1"/>
    <col min="40" max="40" width="6.5703125" customWidth="1"/>
    <col min="41" max="41" width="25.7109375" customWidth="1"/>
    <col min="42" max="48" width="10.7109375" customWidth="1"/>
    <col min="49" max="51" width="10.7109375" hidden="1" customWidth="1"/>
    <col min="52" max="61" width="10.7109375" customWidth="1"/>
  </cols>
  <sheetData>
    <row r="1" spans="1:41" ht="36" customHeight="1">
      <c r="A1" s="37" t="e" vm="1">
        <v>#VALUE!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9" t="s">
        <v>0</v>
      </c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40"/>
      <c r="AG1" s="40"/>
      <c r="AH1" s="40"/>
      <c r="AI1" s="40"/>
      <c r="AJ1" s="40"/>
      <c r="AK1" s="40"/>
      <c r="AL1" s="40"/>
      <c r="AM1" s="40"/>
      <c r="AN1" s="41"/>
      <c r="AO1" s="6"/>
    </row>
    <row r="2" spans="1:41" ht="24.6" customHeight="1">
      <c r="A2" s="110" t="s">
        <v>1</v>
      </c>
      <c r="B2" s="25"/>
      <c r="C2" s="25"/>
      <c r="D2" s="25"/>
      <c r="E2" s="25"/>
      <c r="F2" s="25"/>
      <c r="G2" s="25"/>
      <c r="H2" s="25"/>
      <c r="I2" s="25"/>
      <c r="J2" s="26"/>
      <c r="K2" s="111" t="s">
        <v>2</v>
      </c>
      <c r="L2" s="112"/>
      <c r="M2" s="112"/>
      <c r="N2" s="112"/>
      <c r="O2" s="112"/>
      <c r="P2" s="113"/>
      <c r="Q2" s="111" t="s">
        <v>3</v>
      </c>
      <c r="R2" s="112"/>
      <c r="S2" s="112"/>
      <c r="T2" s="112"/>
      <c r="U2" s="112"/>
      <c r="V2" s="112"/>
      <c r="W2" s="112"/>
      <c r="X2" s="112"/>
      <c r="Y2" s="113"/>
      <c r="Z2" s="114">
        <v>4600684130</v>
      </c>
      <c r="AA2" s="115"/>
      <c r="AB2" s="115"/>
      <c r="AC2" s="115"/>
      <c r="AD2" s="115"/>
      <c r="AE2" s="115"/>
      <c r="AF2" s="115"/>
      <c r="AG2" s="115"/>
      <c r="AH2" s="115"/>
      <c r="AI2" s="115"/>
      <c r="AJ2" s="115"/>
      <c r="AK2" s="115"/>
      <c r="AL2" s="115"/>
      <c r="AM2" s="116"/>
      <c r="AN2" s="7" t="s">
        <v>4</v>
      </c>
      <c r="AO2" s="13"/>
    </row>
    <row r="3" spans="1:41" ht="23.45" customHeight="1">
      <c r="A3" s="110" t="s">
        <v>5</v>
      </c>
      <c r="B3" s="25"/>
      <c r="C3" s="25"/>
      <c r="D3" s="25"/>
      <c r="E3" s="25"/>
      <c r="F3" s="25"/>
      <c r="G3" s="25"/>
      <c r="H3" s="25"/>
      <c r="I3" s="25"/>
      <c r="J3" s="26"/>
      <c r="K3" s="24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120"/>
    </row>
    <row r="4" spans="1:41" ht="31.5" customHeight="1">
      <c r="A4" s="117" t="s">
        <v>6</v>
      </c>
      <c r="B4" s="118"/>
      <c r="C4" s="118"/>
      <c r="D4" s="118"/>
      <c r="E4" s="118"/>
      <c r="F4" s="118"/>
      <c r="G4" s="118"/>
      <c r="H4" s="118"/>
      <c r="I4" s="118"/>
      <c r="J4" s="119"/>
      <c r="K4" s="24"/>
      <c r="L4" s="25"/>
      <c r="M4" s="25"/>
      <c r="N4" s="25"/>
      <c r="O4" s="25"/>
      <c r="P4" s="25"/>
      <c r="Q4" s="25"/>
      <c r="R4" s="26"/>
      <c r="S4" s="19" t="s">
        <v>7</v>
      </c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19"/>
      <c r="AG4" s="20"/>
      <c r="AH4" s="20"/>
      <c r="AI4" s="20"/>
      <c r="AJ4" s="20"/>
      <c r="AK4" s="20"/>
      <c r="AL4" s="20"/>
      <c r="AM4" s="20"/>
      <c r="AN4" s="20"/>
      <c r="AO4" s="21"/>
    </row>
    <row r="5" spans="1:41" ht="32.25" customHeight="1">
      <c r="A5" s="117" t="s">
        <v>8</v>
      </c>
      <c r="B5" s="118"/>
      <c r="C5" s="118"/>
      <c r="D5" s="118"/>
      <c r="E5" s="118"/>
      <c r="F5" s="118"/>
      <c r="G5" s="118"/>
      <c r="H5" s="118"/>
      <c r="I5" s="118"/>
      <c r="J5" s="119"/>
      <c r="K5" s="18"/>
      <c r="L5" s="18"/>
      <c r="M5" s="18"/>
      <c r="N5" s="18"/>
      <c r="O5" s="18"/>
      <c r="P5" s="18"/>
      <c r="Q5" s="18"/>
      <c r="R5" s="18"/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22"/>
      <c r="AH5" s="22"/>
      <c r="AI5" s="22"/>
      <c r="AJ5" s="22"/>
      <c r="AK5" s="22"/>
      <c r="AL5" s="22"/>
      <c r="AM5" s="22"/>
      <c r="AN5" s="22"/>
      <c r="AO5" s="23"/>
    </row>
    <row r="6" spans="1:41" ht="38.1" customHeight="1">
      <c r="A6" s="15" t="s">
        <v>9</v>
      </c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7"/>
      <c r="Q6" s="122" t="s">
        <v>10</v>
      </c>
      <c r="R6" s="123"/>
      <c r="S6" s="123"/>
      <c r="T6" s="123"/>
      <c r="U6" s="123"/>
      <c r="V6" s="123"/>
      <c r="W6" s="123"/>
      <c r="X6" s="123"/>
      <c r="Y6" s="123"/>
      <c r="Z6" s="123"/>
      <c r="AA6" s="123"/>
      <c r="AB6" s="123"/>
      <c r="AC6" s="123"/>
      <c r="AD6" s="123"/>
      <c r="AE6" s="123"/>
      <c r="AF6" s="123"/>
      <c r="AG6" s="123"/>
      <c r="AH6" s="123"/>
      <c r="AI6" s="123"/>
      <c r="AJ6" s="123"/>
      <c r="AK6" s="123"/>
      <c r="AL6" s="123"/>
      <c r="AM6" s="123"/>
      <c r="AN6" s="123"/>
      <c r="AO6" s="124"/>
    </row>
    <row r="7" spans="1:41" ht="24.75" customHeight="1">
      <c r="A7" s="102" t="s">
        <v>11</v>
      </c>
      <c r="B7" s="30"/>
      <c r="C7" s="30"/>
      <c r="D7" s="30"/>
      <c r="E7" s="30"/>
      <c r="F7" s="30"/>
      <c r="G7" s="30"/>
      <c r="H7" s="30"/>
      <c r="I7" s="30"/>
      <c r="J7" s="30"/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0"/>
      <c r="AE7" s="30"/>
      <c r="AF7" s="30"/>
      <c r="AG7" s="30"/>
      <c r="AH7" s="30"/>
      <c r="AI7" s="30"/>
      <c r="AJ7" s="30"/>
      <c r="AK7" s="30"/>
      <c r="AL7" s="30"/>
      <c r="AM7" s="30"/>
      <c r="AN7" s="30"/>
      <c r="AO7" s="86"/>
    </row>
    <row r="8" spans="1:41" ht="24.75" customHeight="1">
      <c r="A8" s="103" t="s">
        <v>12</v>
      </c>
      <c r="B8" s="32"/>
      <c r="C8" s="32"/>
      <c r="D8" s="32"/>
      <c r="E8" s="32"/>
      <c r="F8" s="32"/>
      <c r="G8" s="32"/>
      <c r="H8" s="32"/>
      <c r="I8" s="32"/>
      <c r="J8" s="32"/>
      <c r="K8" s="32"/>
      <c r="L8" s="30" t="s">
        <v>13</v>
      </c>
      <c r="M8" s="30"/>
      <c r="N8" s="30"/>
      <c r="O8" s="30"/>
      <c r="P8" s="31"/>
      <c r="Q8" s="29" t="s">
        <v>14</v>
      </c>
      <c r="R8" s="30"/>
      <c r="S8" s="30"/>
      <c r="T8" s="29" t="s">
        <v>15</v>
      </c>
      <c r="U8" s="30"/>
      <c r="V8" s="30"/>
      <c r="W8" s="31"/>
      <c r="X8" s="29" t="s">
        <v>16</v>
      </c>
      <c r="Y8" s="30"/>
      <c r="Z8" s="30"/>
      <c r="AA8" s="30"/>
      <c r="AB8" s="30"/>
      <c r="AC8" s="30"/>
      <c r="AD8" s="30"/>
      <c r="AE8" s="31"/>
      <c r="AF8" s="29" t="s">
        <v>17</v>
      </c>
      <c r="AG8" s="30"/>
      <c r="AH8" s="30"/>
      <c r="AI8" s="30"/>
      <c r="AJ8" s="30"/>
      <c r="AK8" s="30"/>
      <c r="AL8" s="30"/>
      <c r="AM8" s="30"/>
      <c r="AN8" s="30"/>
      <c r="AO8" s="86"/>
    </row>
    <row r="9" spans="1:41">
      <c r="A9" s="58" t="s">
        <v>18</v>
      </c>
      <c r="B9" s="59"/>
      <c r="C9" s="59"/>
      <c r="D9" s="59"/>
      <c r="E9" s="59"/>
      <c r="F9" s="59"/>
      <c r="G9" s="59"/>
      <c r="H9" s="59"/>
      <c r="I9" s="59"/>
      <c r="J9" s="59"/>
      <c r="K9" s="60"/>
      <c r="L9" s="83" t="s">
        <v>19</v>
      </c>
      <c r="M9" s="84"/>
      <c r="N9" s="84"/>
      <c r="O9" s="84"/>
      <c r="P9" s="85"/>
      <c r="Q9" s="81" t="s">
        <v>20</v>
      </c>
      <c r="R9" s="81"/>
      <c r="S9" s="81"/>
      <c r="T9" s="78"/>
      <c r="U9" s="79"/>
      <c r="V9" s="79"/>
      <c r="W9" s="80"/>
      <c r="X9" s="72">
        <v>9.2699999999999998E-4</v>
      </c>
      <c r="Y9" s="73"/>
      <c r="Z9" s="73"/>
      <c r="AA9" s="73"/>
      <c r="AB9" s="73"/>
      <c r="AC9" s="73"/>
      <c r="AD9" s="73"/>
      <c r="AE9" s="74"/>
      <c r="AF9" s="34" t="str">
        <f>IF(T9="","",T9*X9)</f>
        <v/>
      </c>
      <c r="AG9" s="35"/>
      <c r="AH9" s="35"/>
      <c r="AI9" s="35"/>
      <c r="AJ9" s="35"/>
      <c r="AK9" s="35"/>
      <c r="AL9" s="35"/>
      <c r="AM9" s="35"/>
      <c r="AN9" s="35"/>
      <c r="AO9" s="36"/>
    </row>
    <row r="10" spans="1:41">
      <c r="A10" s="61"/>
      <c r="B10" s="62"/>
      <c r="C10" s="62"/>
      <c r="D10" s="62"/>
      <c r="E10" s="62"/>
      <c r="F10" s="62"/>
      <c r="G10" s="62"/>
      <c r="H10" s="62"/>
      <c r="I10" s="62"/>
      <c r="J10" s="62"/>
      <c r="K10" s="63"/>
      <c r="L10" s="83" t="s">
        <v>21</v>
      </c>
      <c r="M10" s="84"/>
      <c r="N10" s="84"/>
      <c r="O10" s="84"/>
      <c r="P10" s="85"/>
      <c r="Q10" s="81" t="s">
        <v>20</v>
      </c>
      <c r="R10" s="81"/>
      <c r="S10" s="81"/>
      <c r="T10" s="78"/>
      <c r="U10" s="79"/>
      <c r="V10" s="79"/>
      <c r="W10" s="80"/>
      <c r="X10" s="72">
        <v>2.317E-3</v>
      </c>
      <c r="Y10" s="73"/>
      <c r="Z10" s="73"/>
      <c r="AA10" s="73"/>
      <c r="AB10" s="73"/>
      <c r="AC10" s="73"/>
      <c r="AD10" s="73"/>
      <c r="AE10" s="74"/>
      <c r="AF10" s="34" t="str">
        <f t="shared" ref="AF10:AF44" si="0">IF(T10="","",T10*X10)</f>
        <v/>
      </c>
      <c r="AG10" s="35"/>
      <c r="AH10" s="35"/>
      <c r="AI10" s="35"/>
      <c r="AJ10" s="35"/>
      <c r="AK10" s="35"/>
      <c r="AL10" s="35"/>
      <c r="AM10" s="35"/>
      <c r="AN10" s="35"/>
      <c r="AO10" s="36"/>
    </row>
    <row r="11" spans="1:41">
      <c r="A11" s="61"/>
      <c r="B11" s="62"/>
      <c r="C11" s="62"/>
      <c r="D11" s="62"/>
      <c r="E11" s="62"/>
      <c r="F11" s="62"/>
      <c r="G11" s="62"/>
      <c r="H11" s="62"/>
      <c r="I11" s="62"/>
      <c r="J11" s="62"/>
      <c r="K11" s="63"/>
      <c r="L11" s="83" t="s">
        <v>22</v>
      </c>
      <c r="M11" s="84"/>
      <c r="N11" s="84"/>
      <c r="O11" s="84"/>
      <c r="P11" s="85"/>
      <c r="Q11" s="81" t="s">
        <v>20</v>
      </c>
      <c r="R11" s="81"/>
      <c r="S11" s="81"/>
      <c r="T11" s="78"/>
      <c r="U11" s="79"/>
      <c r="V11" s="79"/>
      <c r="W11" s="80"/>
      <c r="X11" s="72">
        <v>2.317E-3</v>
      </c>
      <c r="Y11" s="73"/>
      <c r="Z11" s="73"/>
      <c r="AA11" s="73"/>
      <c r="AB11" s="73"/>
      <c r="AC11" s="73"/>
      <c r="AD11" s="73"/>
      <c r="AE11" s="74"/>
      <c r="AF11" s="34" t="str">
        <f t="shared" si="0"/>
        <v/>
      </c>
      <c r="AG11" s="35"/>
      <c r="AH11" s="35"/>
      <c r="AI11" s="35"/>
      <c r="AJ11" s="35"/>
      <c r="AK11" s="35"/>
      <c r="AL11" s="35"/>
      <c r="AM11" s="35"/>
      <c r="AN11" s="35"/>
      <c r="AO11" s="36"/>
    </row>
    <row r="12" spans="1:41">
      <c r="A12" s="61"/>
      <c r="B12" s="62"/>
      <c r="C12" s="62"/>
      <c r="D12" s="62"/>
      <c r="E12" s="62"/>
      <c r="F12" s="62"/>
      <c r="G12" s="62"/>
      <c r="H12" s="62"/>
      <c r="I12" s="62"/>
      <c r="J12" s="62"/>
      <c r="K12" s="63"/>
      <c r="L12" s="83" t="s">
        <v>23</v>
      </c>
      <c r="M12" s="84"/>
      <c r="N12" s="84"/>
      <c r="O12" s="84"/>
      <c r="P12" s="85"/>
      <c r="Q12" s="81" t="s">
        <v>20</v>
      </c>
      <c r="R12" s="81"/>
      <c r="S12" s="81"/>
      <c r="T12" s="78"/>
      <c r="U12" s="79"/>
      <c r="V12" s="79"/>
      <c r="W12" s="80"/>
      <c r="X12" s="72">
        <v>1.39E-3</v>
      </c>
      <c r="Y12" s="73"/>
      <c r="Z12" s="73"/>
      <c r="AA12" s="73"/>
      <c r="AB12" s="73"/>
      <c r="AC12" s="73"/>
      <c r="AD12" s="73"/>
      <c r="AE12" s="74"/>
      <c r="AF12" s="34" t="str">
        <f t="shared" si="0"/>
        <v/>
      </c>
      <c r="AG12" s="35"/>
      <c r="AH12" s="35"/>
      <c r="AI12" s="35"/>
      <c r="AJ12" s="35"/>
      <c r="AK12" s="35"/>
      <c r="AL12" s="35"/>
      <c r="AM12" s="35"/>
      <c r="AN12" s="35"/>
      <c r="AO12" s="36"/>
    </row>
    <row r="13" spans="1:41">
      <c r="A13" s="61"/>
      <c r="B13" s="62"/>
      <c r="C13" s="62"/>
      <c r="D13" s="62"/>
      <c r="E13" s="62"/>
      <c r="F13" s="62"/>
      <c r="G13" s="62"/>
      <c r="H13" s="62"/>
      <c r="I13" s="62"/>
      <c r="J13" s="62"/>
      <c r="K13" s="63"/>
      <c r="L13" s="83" t="s">
        <v>24</v>
      </c>
      <c r="M13" s="84"/>
      <c r="N13" s="84"/>
      <c r="O13" s="84"/>
      <c r="P13" s="85"/>
      <c r="Q13" s="81" t="s">
        <v>20</v>
      </c>
      <c r="R13" s="81"/>
      <c r="S13" s="81"/>
      <c r="T13" s="78"/>
      <c r="U13" s="79"/>
      <c r="V13" s="79"/>
      <c r="W13" s="80"/>
      <c r="X13" s="72">
        <v>1.39E-3</v>
      </c>
      <c r="Y13" s="73"/>
      <c r="Z13" s="73"/>
      <c r="AA13" s="73"/>
      <c r="AB13" s="73"/>
      <c r="AC13" s="73"/>
      <c r="AD13" s="73"/>
      <c r="AE13" s="74"/>
      <c r="AF13" s="34" t="str">
        <f t="shared" si="0"/>
        <v/>
      </c>
      <c r="AG13" s="35"/>
      <c r="AH13" s="35"/>
      <c r="AI13" s="35"/>
      <c r="AJ13" s="35"/>
      <c r="AK13" s="35"/>
      <c r="AL13" s="35"/>
      <c r="AM13" s="35"/>
      <c r="AN13" s="35"/>
      <c r="AO13" s="36"/>
    </row>
    <row r="14" spans="1:41">
      <c r="A14" s="61"/>
      <c r="B14" s="62"/>
      <c r="C14" s="62"/>
      <c r="D14" s="62"/>
      <c r="E14" s="62"/>
      <c r="F14" s="62"/>
      <c r="G14" s="62"/>
      <c r="H14" s="62"/>
      <c r="I14" s="62"/>
      <c r="J14" s="62"/>
      <c r="K14" s="63"/>
      <c r="L14" s="83" t="s">
        <v>25</v>
      </c>
      <c r="M14" s="84"/>
      <c r="N14" s="84"/>
      <c r="O14" s="84"/>
      <c r="P14" s="85"/>
      <c r="Q14" s="81" t="s">
        <v>20</v>
      </c>
      <c r="R14" s="81"/>
      <c r="S14" s="81"/>
      <c r="T14" s="78"/>
      <c r="U14" s="79"/>
      <c r="V14" s="79"/>
      <c r="W14" s="80"/>
      <c r="X14" s="72">
        <v>1.854E-3</v>
      </c>
      <c r="Y14" s="73"/>
      <c r="Z14" s="73"/>
      <c r="AA14" s="73"/>
      <c r="AB14" s="73"/>
      <c r="AC14" s="73"/>
      <c r="AD14" s="73"/>
      <c r="AE14" s="74"/>
      <c r="AF14" s="34" t="str">
        <f t="shared" si="0"/>
        <v/>
      </c>
      <c r="AG14" s="35"/>
      <c r="AH14" s="35"/>
      <c r="AI14" s="35"/>
      <c r="AJ14" s="35"/>
      <c r="AK14" s="35"/>
      <c r="AL14" s="35"/>
      <c r="AM14" s="35"/>
      <c r="AN14" s="35"/>
      <c r="AO14" s="36"/>
    </row>
    <row r="15" spans="1:41">
      <c r="A15" s="61"/>
      <c r="B15" s="62"/>
      <c r="C15" s="62"/>
      <c r="D15" s="62"/>
      <c r="E15" s="62"/>
      <c r="F15" s="62"/>
      <c r="G15" s="62"/>
      <c r="H15" s="62"/>
      <c r="I15" s="62"/>
      <c r="J15" s="62"/>
      <c r="K15" s="63"/>
      <c r="L15" s="83" t="s">
        <v>26</v>
      </c>
      <c r="M15" s="84"/>
      <c r="N15" s="84"/>
      <c r="O15" s="84"/>
      <c r="P15" s="85"/>
      <c r="Q15" s="81" t="s">
        <v>20</v>
      </c>
      <c r="R15" s="81"/>
      <c r="S15" s="81"/>
      <c r="T15" s="78"/>
      <c r="U15" s="79"/>
      <c r="V15" s="79"/>
      <c r="W15" s="80"/>
      <c r="X15" s="72">
        <v>1.854E-3</v>
      </c>
      <c r="Y15" s="73"/>
      <c r="Z15" s="73"/>
      <c r="AA15" s="73"/>
      <c r="AB15" s="73"/>
      <c r="AC15" s="73"/>
      <c r="AD15" s="73"/>
      <c r="AE15" s="74"/>
      <c r="AF15" s="34" t="str">
        <f t="shared" si="0"/>
        <v/>
      </c>
      <c r="AG15" s="35"/>
      <c r="AH15" s="35"/>
      <c r="AI15" s="35"/>
      <c r="AJ15" s="35"/>
      <c r="AK15" s="35"/>
      <c r="AL15" s="35"/>
      <c r="AM15" s="35"/>
      <c r="AN15" s="35"/>
      <c r="AO15" s="36"/>
    </row>
    <row r="16" spans="1:41">
      <c r="A16" s="61"/>
      <c r="B16" s="62"/>
      <c r="C16" s="62"/>
      <c r="D16" s="62"/>
      <c r="E16" s="62"/>
      <c r="F16" s="62"/>
      <c r="G16" s="62"/>
      <c r="H16" s="62"/>
      <c r="I16" s="62"/>
      <c r="J16" s="62"/>
      <c r="K16" s="63"/>
      <c r="L16" s="83" t="s">
        <v>27</v>
      </c>
      <c r="M16" s="84"/>
      <c r="N16" s="84"/>
      <c r="O16" s="84"/>
      <c r="P16" s="85"/>
      <c r="Q16" s="81" t="s">
        <v>20</v>
      </c>
      <c r="R16" s="81"/>
      <c r="S16" s="81"/>
      <c r="T16" s="78"/>
      <c r="U16" s="79"/>
      <c r="V16" s="79"/>
      <c r="W16" s="80"/>
      <c r="X16" s="72">
        <v>9.7799999999999992E-4</v>
      </c>
      <c r="Y16" s="73"/>
      <c r="Z16" s="73"/>
      <c r="AA16" s="73"/>
      <c r="AB16" s="73"/>
      <c r="AC16" s="73"/>
      <c r="AD16" s="73"/>
      <c r="AE16" s="74"/>
      <c r="AF16" s="34" t="str">
        <f t="shared" si="0"/>
        <v/>
      </c>
      <c r="AG16" s="35"/>
      <c r="AH16" s="35"/>
      <c r="AI16" s="35"/>
      <c r="AJ16" s="35"/>
      <c r="AK16" s="35"/>
      <c r="AL16" s="35"/>
      <c r="AM16" s="35"/>
      <c r="AN16" s="35"/>
      <c r="AO16" s="36"/>
    </row>
    <row r="17" spans="1:41">
      <c r="A17" s="61"/>
      <c r="B17" s="62"/>
      <c r="C17" s="62"/>
      <c r="D17" s="62"/>
      <c r="E17" s="62"/>
      <c r="F17" s="62"/>
      <c r="G17" s="62"/>
      <c r="H17" s="62"/>
      <c r="I17" s="62"/>
      <c r="J17" s="62"/>
      <c r="K17" s="63"/>
      <c r="L17" s="83" t="s">
        <v>28</v>
      </c>
      <c r="M17" s="84"/>
      <c r="N17" s="84"/>
      <c r="O17" s="84"/>
      <c r="P17" s="85"/>
      <c r="Q17" s="81" t="s">
        <v>20</v>
      </c>
      <c r="R17" s="81"/>
      <c r="S17" s="81"/>
      <c r="T17" s="78"/>
      <c r="U17" s="79"/>
      <c r="V17" s="79"/>
      <c r="W17" s="80"/>
      <c r="X17" s="72">
        <v>1.9550000000000001E-3</v>
      </c>
      <c r="Y17" s="73"/>
      <c r="Z17" s="73"/>
      <c r="AA17" s="73"/>
      <c r="AB17" s="73"/>
      <c r="AC17" s="73"/>
      <c r="AD17" s="73"/>
      <c r="AE17" s="74"/>
      <c r="AF17" s="34" t="str">
        <f t="shared" si="0"/>
        <v/>
      </c>
      <c r="AG17" s="35"/>
      <c r="AH17" s="35"/>
      <c r="AI17" s="35"/>
      <c r="AJ17" s="35"/>
      <c r="AK17" s="35"/>
      <c r="AL17" s="35"/>
      <c r="AM17" s="35"/>
      <c r="AN17" s="35"/>
      <c r="AO17" s="36"/>
    </row>
    <row r="18" spans="1:41">
      <c r="A18" s="61"/>
      <c r="B18" s="62"/>
      <c r="C18" s="62"/>
      <c r="D18" s="62"/>
      <c r="E18" s="62"/>
      <c r="F18" s="62"/>
      <c r="G18" s="62"/>
      <c r="H18" s="62"/>
      <c r="I18" s="62"/>
      <c r="J18" s="62"/>
      <c r="K18" s="63"/>
      <c r="L18" s="83" t="s">
        <v>29</v>
      </c>
      <c r="M18" s="84"/>
      <c r="N18" s="84"/>
      <c r="O18" s="84"/>
      <c r="P18" s="85"/>
      <c r="Q18" s="81" t="s">
        <v>20</v>
      </c>
      <c r="R18" s="81"/>
      <c r="S18" s="81"/>
      <c r="T18" s="78"/>
      <c r="U18" s="79"/>
      <c r="V18" s="79"/>
      <c r="W18" s="80"/>
      <c r="X18" s="72">
        <v>1.2509999999999999E-3</v>
      </c>
      <c r="Y18" s="73"/>
      <c r="Z18" s="73"/>
      <c r="AA18" s="73"/>
      <c r="AB18" s="73"/>
      <c r="AC18" s="73"/>
      <c r="AD18" s="73"/>
      <c r="AE18" s="74"/>
      <c r="AF18" s="34" t="str">
        <f t="shared" si="0"/>
        <v/>
      </c>
      <c r="AG18" s="35"/>
      <c r="AH18" s="35"/>
      <c r="AI18" s="35"/>
      <c r="AJ18" s="35"/>
      <c r="AK18" s="35"/>
      <c r="AL18" s="35"/>
      <c r="AM18" s="35"/>
      <c r="AN18" s="35"/>
      <c r="AO18" s="36"/>
    </row>
    <row r="19" spans="1:41">
      <c r="A19" s="61"/>
      <c r="B19" s="62"/>
      <c r="C19" s="62"/>
      <c r="D19" s="62"/>
      <c r="E19" s="62"/>
      <c r="F19" s="62"/>
      <c r="G19" s="62"/>
      <c r="H19" s="62"/>
      <c r="I19" s="62"/>
      <c r="J19" s="62"/>
      <c r="K19" s="63"/>
      <c r="L19" s="83" t="s">
        <v>30</v>
      </c>
      <c r="M19" s="84"/>
      <c r="N19" s="84"/>
      <c r="O19" s="84"/>
      <c r="P19" s="85"/>
      <c r="Q19" s="81" t="s">
        <v>20</v>
      </c>
      <c r="R19" s="81"/>
      <c r="S19" s="81"/>
      <c r="T19" s="78"/>
      <c r="U19" s="79"/>
      <c r="V19" s="79"/>
      <c r="W19" s="80"/>
      <c r="X19" s="72">
        <v>1.031E-3</v>
      </c>
      <c r="Y19" s="73"/>
      <c r="Z19" s="73"/>
      <c r="AA19" s="73"/>
      <c r="AB19" s="73"/>
      <c r="AC19" s="73"/>
      <c r="AD19" s="73"/>
      <c r="AE19" s="74"/>
      <c r="AF19" s="34" t="str">
        <f t="shared" si="0"/>
        <v/>
      </c>
      <c r="AG19" s="35"/>
      <c r="AH19" s="35"/>
      <c r="AI19" s="35"/>
      <c r="AJ19" s="35"/>
      <c r="AK19" s="35"/>
      <c r="AL19" s="35"/>
      <c r="AM19" s="35"/>
      <c r="AN19" s="35"/>
      <c r="AO19" s="36"/>
    </row>
    <row r="20" spans="1:41">
      <c r="A20" s="61"/>
      <c r="B20" s="62"/>
      <c r="C20" s="62"/>
      <c r="D20" s="62"/>
      <c r="E20" s="62"/>
      <c r="F20" s="62"/>
      <c r="G20" s="62"/>
      <c r="H20" s="62"/>
      <c r="I20" s="62"/>
      <c r="J20" s="62"/>
      <c r="K20" s="63"/>
      <c r="L20" s="83" t="s">
        <v>31</v>
      </c>
      <c r="M20" s="84"/>
      <c r="N20" s="84"/>
      <c r="O20" s="84"/>
      <c r="P20" s="85"/>
      <c r="Q20" s="81" t="s">
        <v>20</v>
      </c>
      <c r="R20" s="81"/>
      <c r="S20" s="81"/>
      <c r="T20" s="78"/>
      <c r="U20" s="79"/>
      <c r="V20" s="79"/>
      <c r="W20" s="80"/>
      <c r="X20" s="72">
        <v>7.3470000000000002E-3</v>
      </c>
      <c r="Y20" s="73"/>
      <c r="Z20" s="73"/>
      <c r="AA20" s="73"/>
      <c r="AB20" s="73"/>
      <c r="AC20" s="73"/>
      <c r="AD20" s="73"/>
      <c r="AE20" s="74"/>
      <c r="AF20" s="34" t="str">
        <f t="shared" si="0"/>
        <v/>
      </c>
      <c r="AG20" s="35"/>
      <c r="AH20" s="35"/>
      <c r="AI20" s="35"/>
      <c r="AJ20" s="35"/>
      <c r="AK20" s="35"/>
      <c r="AL20" s="35"/>
      <c r="AM20" s="35"/>
      <c r="AN20" s="35"/>
      <c r="AO20" s="36"/>
    </row>
    <row r="21" spans="1:41">
      <c r="A21" s="64"/>
      <c r="B21" s="65"/>
      <c r="C21" s="65"/>
      <c r="D21" s="65"/>
      <c r="E21" s="65"/>
      <c r="F21" s="65"/>
      <c r="G21" s="65"/>
      <c r="H21" s="65"/>
      <c r="I21" s="65"/>
      <c r="J21" s="65"/>
      <c r="K21" s="66"/>
      <c r="L21" s="83" t="s">
        <v>32</v>
      </c>
      <c r="M21" s="84"/>
      <c r="N21" s="84"/>
      <c r="O21" s="84"/>
      <c r="P21" s="85"/>
      <c r="Q21" s="81" t="s">
        <v>20</v>
      </c>
      <c r="R21" s="81"/>
      <c r="S21" s="81"/>
      <c r="T21" s="78"/>
      <c r="U21" s="79"/>
      <c r="V21" s="79"/>
      <c r="W21" s="80"/>
      <c r="X21" s="72">
        <v>1.5200000000000001E-3</v>
      </c>
      <c r="Y21" s="73"/>
      <c r="Z21" s="73"/>
      <c r="AA21" s="73"/>
      <c r="AB21" s="73"/>
      <c r="AC21" s="73"/>
      <c r="AD21" s="73"/>
      <c r="AE21" s="74"/>
      <c r="AF21" s="34" t="str">
        <f t="shared" si="0"/>
        <v/>
      </c>
      <c r="AG21" s="35"/>
      <c r="AH21" s="35"/>
      <c r="AI21" s="35"/>
      <c r="AJ21" s="35"/>
      <c r="AK21" s="35"/>
      <c r="AL21" s="35"/>
      <c r="AM21" s="35"/>
      <c r="AN21" s="35"/>
      <c r="AO21" s="36"/>
    </row>
    <row r="22" spans="1:41">
      <c r="A22" s="67" t="s">
        <v>33</v>
      </c>
      <c r="B22" s="59"/>
      <c r="C22" s="59"/>
      <c r="D22" s="59"/>
      <c r="E22" s="59"/>
      <c r="F22" s="59"/>
      <c r="G22" s="59"/>
      <c r="H22" s="59"/>
      <c r="I22" s="59"/>
      <c r="J22" s="59"/>
      <c r="K22" s="60"/>
      <c r="L22" s="83" t="s">
        <v>34</v>
      </c>
      <c r="M22" s="84"/>
      <c r="N22" s="84"/>
      <c r="O22" s="84"/>
      <c r="P22" s="85"/>
      <c r="Q22" s="81" t="s">
        <v>20</v>
      </c>
      <c r="R22" s="81"/>
      <c r="S22" s="81"/>
      <c r="T22" s="78"/>
      <c r="U22" s="79"/>
      <c r="V22" s="79"/>
      <c r="W22" s="80"/>
      <c r="X22" s="72">
        <v>8.0839999999999992E-3</v>
      </c>
      <c r="Y22" s="73"/>
      <c r="Z22" s="73"/>
      <c r="AA22" s="73"/>
      <c r="AB22" s="73"/>
      <c r="AC22" s="73"/>
      <c r="AD22" s="73"/>
      <c r="AE22" s="74"/>
      <c r="AF22" s="34" t="str">
        <f t="shared" si="0"/>
        <v/>
      </c>
      <c r="AG22" s="35"/>
      <c r="AH22" s="35"/>
      <c r="AI22" s="35"/>
      <c r="AJ22" s="35"/>
      <c r="AK22" s="35"/>
      <c r="AL22" s="35"/>
      <c r="AM22" s="35"/>
      <c r="AN22" s="35"/>
      <c r="AO22" s="36"/>
    </row>
    <row r="23" spans="1:41">
      <c r="A23" s="61"/>
      <c r="B23" s="62"/>
      <c r="C23" s="62"/>
      <c r="D23" s="62"/>
      <c r="E23" s="62"/>
      <c r="F23" s="62"/>
      <c r="G23" s="62"/>
      <c r="H23" s="62"/>
      <c r="I23" s="62"/>
      <c r="J23" s="62"/>
      <c r="K23" s="63"/>
      <c r="L23" s="83" t="s">
        <v>35</v>
      </c>
      <c r="M23" s="84"/>
      <c r="N23" s="84"/>
      <c r="O23" s="84"/>
      <c r="P23" s="85"/>
      <c r="Q23" s="81" t="s">
        <v>20</v>
      </c>
      <c r="R23" s="81"/>
      <c r="S23" s="81"/>
      <c r="T23" s="78"/>
      <c r="U23" s="79"/>
      <c r="V23" s="79"/>
      <c r="W23" s="80"/>
      <c r="X23" s="72">
        <v>3.4759999999999999E-3</v>
      </c>
      <c r="Y23" s="73"/>
      <c r="Z23" s="73"/>
      <c r="AA23" s="73"/>
      <c r="AB23" s="73"/>
      <c r="AC23" s="73"/>
      <c r="AD23" s="73"/>
      <c r="AE23" s="74"/>
      <c r="AF23" s="34" t="str">
        <f t="shared" si="0"/>
        <v/>
      </c>
      <c r="AG23" s="35"/>
      <c r="AH23" s="35"/>
      <c r="AI23" s="35"/>
      <c r="AJ23" s="35"/>
      <c r="AK23" s="35"/>
      <c r="AL23" s="35"/>
      <c r="AM23" s="35"/>
      <c r="AN23" s="35"/>
      <c r="AO23" s="36"/>
    </row>
    <row r="24" spans="1:41">
      <c r="A24" s="61"/>
      <c r="B24" s="62"/>
      <c r="C24" s="62"/>
      <c r="D24" s="62"/>
      <c r="E24" s="62"/>
      <c r="F24" s="62"/>
      <c r="G24" s="62"/>
      <c r="H24" s="62"/>
      <c r="I24" s="62"/>
      <c r="J24" s="62"/>
      <c r="K24" s="63"/>
      <c r="L24" s="83" t="s">
        <v>36</v>
      </c>
      <c r="M24" s="84"/>
      <c r="N24" s="84"/>
      <c r="O24" s="84"/>
      <c r="P24" s="85"/>
      <c r="Q24" s="81" t="s">
        <v>20</v>
      </c>
      <c r="R24" s="81"/>
      <c r="S24" s="81"/>
      <c r="T24" s="78"/>
      <c r="U24" s="79"/>
      <c r="V24" s="79"/>
      <c r="W24" s="80"/>
      <c r="X24" s="72">
        <v>3.552E-3</v>
      </c>
      <c r="Y24" s="73"/>
      <c r="Z24" s="73"/>
      <c r="AA24" s="73"/>
      <c r="AB24" s="73"/>
      <c r="AC24" s="73"/>
      <c r="AD24" s="73"/>
      <c r="AE24" s="74"/>
      <c r="AF24" s="34" t="str">
        <f>IF(T24="","",T24*X24)</f>
        <v/>
      </c>
      <c r="AG24" s="35"/>
      <c r="AH24" s="35"/>
      <c r="AI24" s="35"/>
      <c r="AJ24" s="35"/>
      <c r="AK24" s="35"/>
      <c r="AL24" s="35"/>
      <c r="AM24" s="35"/>
      <c r="AN24" s="35"/>
      <c r="AO24" s="36"/>
    </row>
    <row r="25" spans="1:41">
      <c r="A25" s="61"/>
      <c r="B25" s="62"/>
      <c r="C25" s="62"/>
      <c r="D25" s="62"/>
      <c r="E25" s="62"/>
      <c r="F25" s="62"/>
      <c r="G25" s="62"/>
      <c r="H25" s="62"/>
      <c r="I25" s="62"/>
      <c r="J25" s="62"/>
      <c r="K25" s="63"/>
      <c r="L25" s="83" t="s">
        <v>37</v>
      </c>
      <c r="M25" s="84"/>
      <c r="N25" s="84"/>
      <c r="O25" s="84"/>
      <c r="P25" s="85"/>
      <c r="Q25" s="81" t="s">
        <v>20</v>
      </c>
      <c r="R25" s="81"/>
      <c r="S25" s="81"/>
      <c r="T25" s="78"/>
      <c r="U25" s="79"/>
      <c r="V25" s="79"/>
      <c r="W25" s="80"/>
      <c r="X25" s="72">
        <v>2.0860000000000002E-3</v>
      </c>
      <c r="Y25" s="73"/>
      <c r="Z25" s="73"/>
      <c r="AA25" s="73"/>
      <c r="AB25" s="73"/>
      <c r="AC25" s="73"/>
      <c r="AD25" s="73"/>
      <c r="AE25" s="74"/>
      <c r="AF25" s="34" t="str">
        <f t="shared" si="0"/>
        <v/>
      </c>
      <c r="AG25" s="35"/>
      <c r="AH25" s="35"/>
      <c r="AI25" s="35"/>
      <c r="AJ25" s="35"/>
      <c r="AK25" s="35"/>
      <c r="AL25" s="35"/>
      <c r="AM25" s="35"/>
      <c r="AN25" s="35"/>
      <c r="AO25" s="36"/>
    </row>
    <row r="26" spans="1:41">
      <c r="A26" s="61"/>
      <c r="B26" s="62"/>
      <c r="C26" s="62"/>
      <c r="D26" s="62"/>
      <c r="E26" s="62"/>
      <c r="F26" s="62"/>
      <c r="G26" s="62"/>
      <c r="H26" s="62"/>
      <c r="I26" s="62"/>
      <c r="J26" s="62"/>
      <c r="K26" s="63"/>
      <c r="L26" s="83" t="s">
        <v>38</v>
      </c>
      <c r="M26" s="84"/>
      <c r="N26" s="84"/>
      <c r="O26" s="84"/>
      <c r="P26" s="85"/>
      <c r="Q26" s="81" t="s">
        <v>20</v>
      </c>
      <c r="R26" s="81"/>
      <c r="S26" s="81"/>
      <c r="T26" s="78"/>
      <c r="U26" s="79"/>
      <c r="V26" s="79"/>
      <c r="W26" s="80"/>
      <c r="X26" s="72">
        <v>2.9329999999999998E-3</v>
      </c>
      <c r="Y26" s="73"/>
      <c r="Z26" s="73"/>
      <c r="AA26" s="73"/>
      <c r="AB26" s="73"/>
      <c r="AC26" s="73"/>
      <c r="AD26" s="73"/>
      <c r="AE26" s="74"/>
      <c r="AF26" s="34" t="str">
        <f t="shared" si="0"/>
        <v/>
      </c>
      <c r="AG26" s="35"/>
      <c r="AH26" s="35"/>
      <c r="AI26" s="35"/>
      <c r="AJ26" s="35"/>
      <c r="AK26" s="35"/>
      <c r="AL26" s="35"/>
      <c r="AM26" s="35"/>
      <c r="AN26" s="35"/>
      <c r="AO26" s="36"/>
    </row>
    <row r="27" spans="1:41">
      <c r="A27" s="61"/>
      <c r="B27" s="62"/>
      <c r="C27" s="62"/>
      <c r="D27" s="62"/>
      <c r="E27" s="62"/>
      <c r="F27" s="62"/>
      <c r="G27" s="62"/>
      <c r="H27" s="62"/>
      <c r="I27" s="62"/>
      <c r="J27" s="62"/>
      <c r="K27" s="63"/>
      <c r="L27" s="83" t="s">
        <v>39</v>
      </c>
      <c r="M27" s="84"/>
      <c r="N27" s="84"/>
      <c r="O27" s="84"/>
      <c r="P27" s="85"/>
      <c r="Q27" s="81" t="s">
        <v>20</v>
      </c>
      <c r="R27" s="81"/>
      <c r="S27" s="81"/>
      <c r="T27" s="78"/>
      <c r="U27" s="79"/>
      <c r="V27" s="79"/>
      <c r="W27" s="80"/>
      <c r="X27" s="72">
        <v>3.258E-3</v>
      </c>
      <c r="Y27" s="73"/>
      <c r="Z27" s="73"/>
      <c r="AA27" s="73"/>
      <c r="AB27" s="73"/>
      <c r="AC27" s="73"/>
      <c r="AD27" s="73"/>
      <c r="AE27" s="74"/>
      <c r="AF27" s="34" t="str">
        <f t="shared" si="0"/>
        <v/>
      </c>
      <c r="AG27" s="35"/>
      <c r="AH27" s="35"/>
      <c r="AI27" s="35"/>
      <c r="AJ27" s="35"/>
      <c r="AK27" s="35"/>
      <c r="AL27" s="35"/>
      <c r="AM27" s="35"/>
      <c r="AN27" s="35"/>
      <c r="AO27" s="36"/>
    </row>
    <row r="28" spans="1:41">
      <c r="A28" s="61"/>
      <c r="B28" s="62"/>
      <c r="C28" s="62"/>
      <c r="D28" s="62"/>
      <c r="E28" s="62"/>
      <c r="F28" s="62"/>
      <c r="G28" s="62"/>
      <c r="H28" s="62"/>
      <c r="I28" s="62"/>
      <c r="J28" s="62"/>
      <c r="K28" s="63"/>
      <c r="L28" s="83" t="s">
        <v>40</v>
      </c>
      <c r="M28" s="84"/>
      <c r="N28" s="84"/>
      <c r="O28" s="84"/>
      <c r="P28" s="85"/>
      <c r="Q28" s="81" t="s">
        <v>20</v>
      </c>
      <c r="R28" s="81"/>
      <c r="S28" s="81"/>
      <c r="T28" s="78"/>
      <c r="U28" s="79"/>
      <c r="V28" s="79"/>
      <c r="W28" s="80"/>
      <c r="X28" s="72">
        <v>6.5630000000000003E-3</v>
      </c>
      <c r="Y28" s="73"/>
      <c r="Z28" s="73"/>
      <c r="AA28" s="73"/>
      <c r="AB28" s="73"/>
      <c r="AC28" s="73"/>
      <c r="AD28" s="73"/>
      <c r="AE28" s="74"/>
      <c r="AF28" s="34" t="str">
        <f t="shared" si="0"/>
        <v/>
      </c>
      <c r="AG28" s="35"/>
      <c r="AH28" s="35"/>
      <c r="AI28" s="35"/>
      <c r="AJ28" s="35"/>
      <c r="AK28" s="35"/>
      <c r="AL28" s="35"/>
      <c r="AM28" s="35"/>
      <c r="AN28" s="35"/>
      <c r="AO28" s="36"/>
    </row>
    <row r="29" spans="1:41">
      <c r="A29" s="61"/>
      <c r="B29" s="62"/>
      <c r="C29" s="62"/>
      <c r="D29" s="62"/>
      <c r="E29" s="62"/>
      <c r="F29" s="62"/>
      <c r="G29" s="62"/>
      <c r="H29" s="62"/>
      <c r="I29" s="62"/>
      <c r="J29" s="62"/>
      <c r="K29" s="63"/>
      <c r="L29" s="83" t="s">
        <v>41</v>
      </c>
      <c r="M29" s="84"/>
      <c r="N29" s="84"/>
      <c r="O29" s="84"/>
      <c r="P29" s="85"/>
      <c r="Q29" s="81" t="s">
        <v>20</v>
      </c>
      <c r="R29" s="81"/>
      <c r="S29" s="81"/>
      <c r="T29" s="78"/>
      <c r="U29" s="79"/>
      <c r="V29" s="79"/>
      <c r="W29" s="80"/>
      <c r="X29" s="72">
        <v>3.8310000000000002E-3</v>
      </c>
      <c r="Y29" s="73"/>
      <c r="Z29" s="73"/>
      <c r="AA29" s="73"/>
      <c r="AB29" s="73"/>
      <c r="AC29" s="73"/>
      <c r="AD29" s="73"/>
      <c r="AE29" s="74"/>
      <c r="AF29" s="34" t="str">
        <f t="shared" si="0"/>
        <v/>
      </c>
      <c r="AG29" s="35"/>
      <c r="AH29" s="35"/>
      <c r="AI29" s="35"/>
      <c r="AJ29" s="35"/>
      <c r="AK29" s="35"/>
      <c r="AL29" s="35"/>
      <c r="AM29" s="35"/>
      <c r="AN29" s="35"/>
      <c r="AO29" s="36"/>
    </row>
    <row r="30" spans="1:41">
      <c r="A30" s="64"/>
      <c r="B30" s="65"/>
      <c r="C30" s="65"/>
      <c r="D30" s="65"/>
      <c r="E30" s="65"/>
      <c r="F30" s="65"/>
      <c r="G30" s="65"/>
      <c r="H30" s="65"/>
      <c r="I30" s="65"/>
      <c r="J30" s="65"/>
      <c r="K30" s="66"/>
      <c r="L30" s="83" t="s">
        <v>42</v>
      </c>
      <c r="M30" s="84"/>
      <c r="N30" s="84"/>
      <c r="O30" s="84"/>
      <c r="P30" s="85"/>
      <c r="Q30" s="81" t="s">
        <v>20</v>
      </c>
      <c r="R30" s="81"/>
      <c r="S30" s="81"/>
      <c r="T30" s="78"/>
      <c r="U30" s="79"/>
      <c r="V30" s="79"/>
      <c r="W30" s="80"/>
      <c r="X30" s="72">
        <v>2.1719999999999999E-3</v>
      </c>
      <c r="Y30" s="73"/>
      <c r="Z30" s="73"/>
      <c r="AA30" s="73"/>
      <c r="AB30" s="73"/>
      <c r="AC30" s="73"/>
      <c r="AD30" s="73"/>
      <c r="AE30" s="74"/>
      <c r="AF30" s="34" t="str">
        <f t="shared" si="0"/>
        <v/>
      </c>
      <c r="AG30" s="35"/>
      <c r="AH30" s="35"/>
      <c r="AI30" s="35"/>
      <c r="AJ30" s="35"/>
      <c r="AK30" s="35"/>
      <c r="AL30" s="35"/>
      <c r="AM30" s="35"/>
      <c r="AN30" s="35"/>
      <c r="AO30" s="36"/>
    </row>
    <row r="31" spans="1:41" ht="22.5" customHeight="1">
      <c r="A31" s="67" t="s">
        <v>43</v>
      </c>
      <c r="B31" s="59"/>
      <c r="C31" s="59"/>
      <c r="D31" s="59"/>
      <c r="E31" s="59"/>
      <c r="F31" s="59"/>
      <c r="G31" s="59"/>
      <c r="H31" s="59"/>
      <c r="I31" s="59"/>
      <c r="J31" s="59"/>
      <c r="K31" s="60"/>
      <c r="L31" s="83" t="s">
        <v>44</v>
      </c>
      <c r="M31" s="84"/>
      <c r="N31" s="84"/>
      <c r="O31" s="84"/>
      <c r="P31" s="85"/>
      <c r="Q31" s="81" t="s">
        <v>20</v>
      </c>
      <c r="R31" s="81"/>
      <c r="S31" s="81"/>
      <c r="T31" s="78"/>
      <c r="U31" s="79"/>
      <c r="V31" s="79"/>
      <c r="W31" s="80"/>
      <c r="X31" s="72">
        <v>5.9750000000000003E-3</v>
      </c>
      <c r="Y31" s="73"/>
      <c r="Z31" s="73"/>
      <c r="AA31" s="73"/>
      <c r="AB31" s="73"/>
      <c r="AC31" s="73"/>
      <c r="AD31" s="73"/>
      <c r="AE31" s="74"/>
      <c r="AF31" s="34" t="str">
        <f t="shared" si="0"/>
        <v/>
      </c>
      <c r="AG31" s="35"/>
      <c r="AH31" s="35"/>
      <c r="AI31" s="35"/>
      <c r="AJ31" s="35"/>
      <c r="AK31" s="35"/>
      <c r="AL31" s="35"/>
      <c r="AM31" s="35"/>
      <c r="AN31" s="35"/>
      <c r="AO31" s="36"/>
    </row>
    <row r="32" spans="1:41" ht="24" customHeight="1">
      <c r="A32" s="64"/>
      <c r="B32" s="65"/>
      <c r="C32" s="65"/>
      <c r="D32" s="65"/>
      <c r="E32" s="65"/>
      <c r="F32" s="65"/>
      <c r="G32" s="65"/>
      <c r="H32" s="65"/>
      <c r="I32" s="65"/>
      <c r="J32" s="65"/>
      <c r="K32" s="66"/>
      <c r="L32" s="83" t="s">
        <v>45</v>
      </c>
      <c r="M32" s="84"/>
      <c r="N32" s="84"/>
      <c r="O32" s="84"/>
      <c r="P32" s="85"/>
      <c r="Q32" s="81" t="s">
        <v>20</v>
      </c>
      <c r="R32" s="81"/>
      <c r="S32" s="81"/>
      <c r="T32" s="78"/>
      <c r="U32" s="79"/>
      <c r="V32" s="79"/>
      <c r="W32" s="80"/>
      <c r="X32" s="72">
        <v>4.6709999999999998E-3</v>
      </c>
      <c r="Y32" s="73"/>
      <c r="Z32" s="73"/>
      <c r="AA32" s="73"/>
      <c r="AB32" s="73"/>
      <c r="AC32" s="73"/>
      <c r="AD32" s="73"/>
      <c r="AE32" s="74"/>
      <c r="AF32" s="34" t="str">
        <f t="shared" si="0"/>
        <v/>
      </c>
      <c r="AG32" s="35"/>
      <c r="AH32" s="35"/>
      <c r="AI32" s="35"/>
      <c r="AJ32" s="35"/>
      <c r="AK32" s="35"/>
      <c r="AL32" s="35"/>
      <c r="AM32" s="35"/>
      <c r="AN32" s="35"/>
      <c r="AO32" s="36"/>
    </row>
    <row r="33" spans="1:88">
      <c r="A33" s="67" t="s">
        <v>46</v>
      </c>
      <c r="B33" s="59"/>
      <c r="C33" s="59"/>
      <c r="D33" s="59"/>
      <c r="E33" s="59"/>
      <c r="F33" s="59"/>
      <c r="G33" s="59"/>
      <c r="H33" s="59"/>
      <c r="I33" s="59"/>
      <c r="J33" s="59"/>
      <c r="K33" s="60"/>
      <c r="L33" s="83" t="s">
        <v>47</v>
      </c>
      <c r="M33" s="84"/>
      <c r="N33" s="84"/>
      <c r="O33" s="84"/>
      <c r="P33" s="85"/>
      <c r="Q33" s="81" t="s">
        <v>20</v>
      </c>
      <c r="R33" s="81"/>
      <c r="S33" s="81"/>
      <c r="T33" s="78"/>
      <c r="U33" s="79"/>
      <c r="V33" s="79"/>
      <c r="W33" s="80"/>
      <c r="X33" s="72">
        <v>2.6069999999999999E-3</v>
      </c>
      <c r="Y33" s="73"/>
      <c r="Z33" s="73"/>
      <c r="AA33" s="73"/>
      <c r="AB33" s="73"/>
      <c r="AC33" s="73"/>
      <c r="AD33" s="73"/>
      <c r="AE33" s="74"/>
      <c r="AF33" s="34" t="str">
        <f t="shared" si="0"/>
        <v/>
      </c>
      <c r="AG33" s="35"/>
      <c r="AH33" s="35"/>
      <c r="AI33" s="35"/>
      <c r="AJ33" s="35"/>
      <c r="AK33" s="35"/>
      <c r="AL33" s="35"/>
      <c r="AM33" s="35"/>
      <c r="AN33" s="35"/>
      <c r="AO33" s="36"/>
    </row>
    <row r="34" spans="1:88">
      <c r="A34" s="61"/>
      <c r="B34" s="62"/>
      <c r="C34" s="62"/>
      <c r="D34" s="62"/>
      <c r="E34" s="62"/>
      <c r="F34" s="62"/>
      <c r="G34" s="62"/>
      <c r="H34" s="62"/>
      <c r="I34" s="62"/>
      <c r="J34" s="62"/>
      <c r="K34" s="63"/>
      <c r="L34" s="83" t="s">
        <v>48</v>
      </c>
      <c r="M34" s="84"/>
      <c r="N34" s="84"/>
      <c r="O34" s="84"/>
      <c r="P34" s="85"/>
      <c r="Q34" s="81" t="s">
        <v>20</v>
      </c>
      <c r="R34" s="81"/>
      <c r="S34" s="81"/>
      <c r="T34" s="78"/>
      <c r="U34" s="79"/>
      <c r="V34" s="79"/>
      <c r="W34" s="80"/>
      <c r="X34" s="72">
        <v>7.4359999999999999E-3</v>
      </c>
      <c r="Y34" s="73"/>
      <c r="Z34" s="73"/>
      <c r="AA34" s="73"/>
      <c r="AB34" s="73"/>
      <c r="AC34" s="73"/>
      <c r="AD34" s="73"/>
      <c r="AE34" s="74"/>
      <c r="AF34" s="34" t="str">
        <f t="shared" si="0"/>
        <v/>
      </c>
      <c r="AG34" s="35"/>
      <c r="AH34" s="35"/>
      <c r="AI34" s="35"/>
      <c r="AJ34" s="35"/>
      <c r="AK34" s="35"/>
      <c r="AL34" s="35"/>
      <c r="AM34" s="35"/>
      <c r="AN34" s="35"/>
      <c r="AO34" s="36"/>
    </row>
    <row r="35" spans="1:88">
      <c r="A35" s="61"/>
      <c r="B35" s="62"/>
      <c r="C35" s="62"/>
      <c r="D35" s="62"/>
      <c r="E35" s="62"/>
      <c r="F35" s="62"/>
      <c r="G35" s="62"/>
      <c r="H35" s="62"/>
      <c r="I35" s="62"/>
      <c r="J35" s="62"/>
      <c r="K35" s="63"/>
      <c r="L35" s="83" t="s">
        <v>49</v>
      </c>
      <c r="M35" s="84"/>
      <c r="N35" s="84"/>
      <c r="O35" s="84"/>
      <c r="P35" s="85"/>
      <c r="Q35" s="81" t="s">
        <v>20</v>
      </c>
      <c r="R35" s="81"/>
      <c r="S35" s="81"/>
      <c r="T35" s="78"/>
      <c r="U35" s="79"/>
      <c r="V35" s="79"/>
      <c r="W35" s="80"/>
      <c r="X35" s="72">
        <v>6.4349999999999997E-3</v>
      </c>
      <c r="Y35" s="73"/>
      <c r="Z35" s="73"/>
      <c r="AA35" s="73"/>
      <c r="AB35" s="73"/>
      <c r="AC35" s="73"/>
      <c r="AD35" s="73"/>
      <c r="AE35" s="74"/>
      <c r="AF35" s="34" t="str">
        <f t="shared" si="0"/>
        <v/>
      </c>
      <c r="AG35" s="35"/>
      <c r="AH35" s="35"/>
      <c r="AI35" s="35"/>
      <c r="AJ35" s="35"/>
      <c r="AK35" s="35"/>
      <c r="AL35" s="35"/>
      <c r="AM35" s="35"/>
      <c r="AN35" s="35"/>
      <c r="AO35" s="36"/>
    </row>
    <row r="36" spans="1:88">
      <c r="A36" s="61"/>
      <c r="B36" s="62"/>
      <c r="C36" s="62"/>
      <c r="D36" s="62"/>
      <c r="E36" s="62"/>
      <c r="F36" s="62"/>
      <c r="G36" s="62"/>
      <c r="H36" s="62"/>
      <c r="I36" s="62"/>
      <c r="J36" s="62"/>
      <c r="K36" s="63"/>
      <c r="L36" s="83" t="s">
        <v>50</v>
      </c>
      <c r="M36" s="84"/>
      <c r="N36" s="84"/>
      <c r="O36" s="84"/>
      <c r="P36" s="85"/>
      <c r="Q36" s="81" t="s">
        <v>20</v>
      </c>
      <c r="R36" s="81"/>
      <c r="S36" s="81"/>
      <c r="T36" s="78"/>
      <c r="U36" s="79"/>
      <c r="V36" s="79"/>
      <c r="W36" s="80"/>
      <c r="X36" s="72">
        <v>1.5200000000000001E-3</v>
      </c>
      <c r="Y36" s="73"/>
      <c r="Z36" s="73"/>
      <c r="AA36" s="73"/>
      <c r="AB36" s="73"/>
      <c r="AC36" s="73"/>
      <c r="AD36" s="73"/>
      <c r="AE36" s="74"/>
      <c r="AF36" s="34" t="str">
        <f t="shared" si="0"/>
        <v/>
      </c>
      <c r="AG36" s="35"/>
      <c r="AH36" s="35"/>
      <c r="AI36" s="35"/>
      <c r="AJ36" s="35"/>
      <c r="AK36" s="35"/>
      <c r="AL36" s="35"/>
      <c r="AM36" s="35"/>
      <c r="AN36" s="35"/>
      <c r="AO36" s="36"/>
    </row>
    <row r="37" spans="1:88">
      <c r="A37" s="61"/>
      <c r="B37" s="62"/>
      <c r="C37" s="62"/>
      <c r="D37" s="62"/>
      <c r="E37" s="62"/>
      <c r="F37" s="62"/>
      <c r="G37" s="62"/>
      <c r="H37" s="62"/>
      <c r="I37" s="62"/>
      <c r="J37" s="62"/>
      <c r="K37" s="63"/>
      <c r="L37" s="83" t="s">
        <v>51</v>
      </c>
      <c r="M37" s="84"/>
      <c r="N37" s="84"/>
      <c r="O37" s="84"/>
      <c r="P37" s="85"/>
      <c r="Q37" s="81" t="s">
        <v>20</v>
      </c>
      <c r="R37" s="81"/>
      <c r="S37" s="81"/>
      <c r="T37" s="78"/>
      <c r="U37" s="79"/>
      <c r="V37" s="79"/>
      <c r="W37" s="80"/>
      <c r="X37" s="72">
        <v>1.5200000000000001E-3</v>
      </c>
      <c r="Y37" s="73"/>
      <c r="Z37" s="73"/>
      <c r="AA37" s="73"/>
      <c r="AB37" s="73"/>
      <c r="AC37" s="73"/>
      <c r="AD37" s="73"/>
      <c r="AE37" s="74"/>
      <c r="AF37" s="34" t="str">
        <f t="shared" si="0"/>
        <v/>
      </c>
      <c r="AG37" s="35"/>
      <c r="AH37" s="35"/>
      <c r="AI37" s="35"/>
      <c r="AJ37" s="35"/>
      <c r="AK37" s="35"/>
      <c r="AL37" s="35"/>
      <c r="AM37" s="35"/>
      <c r="AN37" s="35"/>
      <c r="AO37" s="36"/>
    </row>
    <row r="38" spans="1:88">
      <c r="A38" s="61"/>
      <c r="B38" s="62"/>
      <c r="C38" s="62"/>
      <c r="D38" s="62"/>
      <c r="E38" s="62"/>
      <c r="F38" s="62"/>
      <c r="G38" s="62"/>
      <c r="H38" s="62"/>
      <c r="I38" s="62"/>
      <c r="J38" s="62"/>
      <c r="K38" s="63"/>
      <c r="L38" s="83" t="s">
        <v>52</v>
      </c>
      <c r="M38" s="84"/>
      <c r="N38" s="84"/>
      <c r="O38" s="84"/>
      <c r="P38" s="85"/>
      <c r="Q38" s="81" t="s">
        <v>20</v>
      </c>
      <c r="R38" s="81"/>
      <c r="S38" s="81"/>
      <c r="T38" s="78"/>
      <c r="U38" s="79"/>
      <c r="V38" s="79"/>
      <c r="W38" s="80"/>
      <c r="X38" s="72">
        <v>1.5920000000000001E-3</v>
      </c>
      <c r="Y38" s="73"/>
      <c r="Z38" s="73"/>
      <c r="AA38" s="73"/>
      <c r="AB38" s="73"/>
      <c r="AC38" s="73"/>
      <c r="AD38" s="73"/>
      <c r="AE38" s="74"/>
      <c r="AF38" s="34" t="str">
        <f t="shared" si="0"/>
        <v/>
      </c>
      <c r="AG38" s="35"/>
      <c r="AH38" s="35"/>
      <c r="AI38" s="35"/>
      <c r="AJ38" s="35"/>
      <c r="AK38" s="35"/>
      <c r="AL38" s="35"/>
      <c r="AM38" s="35"/>
      <c r="AN38" s="35"/>
      <c r="AO38" s="36"/>
    </row>
    <row r="39" spans="1:88">
      <c r="A39" s="64"/>
      <c r="B39" s="65"/>
      <c r="C39" s="65"/>
      <c r="D39" s="65"/>
      <c r="E39" s="65"/>
      <c r="F39" s="65"/>
      <c r="G39" s="65"/>
      <c r="H39" s="65"/>
      <c r="I39" s="65"/>
      <c r="J39" s="65"/>
      <c r="K39" s="66"/>
      <c r="L39" s="83" t="s">
        <v>53</v>
      </c>
      <c r="M39" s="84"/>
      <c r="N39" s="84"/>
      <c r="O39" s="84"/>
      <c r="P39" s="85"/>
      <c r="Q39" s="81" t="s">
        <v>20</v>
      </c>
      <c r="R39" s="81"/>
      <c r="S39" s="81"/>
      <c r="T39" s="78"/>
      <c r="U39" s="79"/>
      <c r="V39" s="79"/>
      <c r="W39" s="80"/>
      <c r="X39" s="72">
        <v>2.0690000000000001E-3</v>
      </c>
      <c r="Y39" s="73"/>
      <c r="Z39" s="73"/>
      <c r="AA39" s="73"/>
      <c r="AB39" s="73"/>
      <c r="AC39" s="73"/>
      <c r="AD39" s="73"/>
      <c r="AE39" s="74"/>
      <c r="AF39" s="34" t="str">
        <f t="shared" si="0"/>
        <v/>
      </c>
      <c r="AG39" s="35"/>
      <c r="AH39" s="35"/>
      <c r="AI39" s="35"/>
      <c r="AJ39" s="35"/>
      <c r="AK39" s="35"/>
      <c r="AL39" s="35"/>
      <c r="AM39" s="35"/>
      <c r="AN39" s="35"/>
      <c r="AO39" s="36"/>
    </row>
    <row r="40" spans="1:88" ht="18.95" customHeight="1">
      <c r="A40" s="67" t="s">
        <v>54</v>
      </c>
      <c r="B40" s="59"/>
      <c r="C40" s="59"/>
      <c r="D40" s="59"/>
      <c r="E40" s="59"/>
      <c r="F40" s="59"/>
      <c r="G40" s="59"/>
      <c r="H40" s="59"/>
      <c r="I40" s="59"/>
      <c r="J40" s="59"/>
      <c r="K40" s="60"/>
      <c r="L40" s="83" t="s">
        <v>55</v>
      </c>
      <c r="M40" s="84"/>
      <c r="N40" s="84"/>
      <c r="O40" s="84"/>
      <c r="P40" s="85"/>
      <c r="Q40" s="81" t="s">
        <v>20</v>
      </c>
      <c r="R40" s="81"/>
      <c r="S40" s="81"/>
      <c r="T40" s="78"/>
      <c r="U40" s="79"/>
      <c r="V40" s="79"/>
      <c r="W40" s="80"/>
      <c r="X40" s="72">
        <v>5.7930000000000004E-3</v>
      </c>
      <c r="Y40" s="73"/>
      <c r="Z40" s="73"/>
      <c r="AA40" s="73"/>
      <c r="AB40" s="73"/>
      <c r="AC40" s="73"/>
      <c r="AD40" s="73"/>
      <c r="AE40" s="74"/>
      <c r="AF40" s="34" t="str">
        <f t="shared" si="0"/>
        <v/>
      </c>
      <c r="AG40" s="35"/>
      <c r="AH40" s="35"/>
      <c r="AI40" s="35"/>
      <c r="AJ40" s="35"/>
      <c r="AK40" s="35"/>
      <c r="AL40" s="35"/>
      <c r="AM40" s="35"/>
      <c r="AN40" s="35"/>
      <c r="AO40" s="36"/>
    </row>
    <row r="41" spans="1:88" ht="18.95" customHeight="1">
      <c r="A41" s="61"/>
      <c r="B41" s="62"/>
      <c r="C41" s="62"/>
      <c r="D41" s="62"/>
      <c r="E41" s="62"/>
      <c r="F41" s="62"/>
      <c r="G41" s="62"/>
      <c r="H41" s="62"/>
      <c r="I41" s="62"/>
      <c r="J41" s="62"/>
      <c r="K41" s="63"/>
      <c r="L41" s="83" t="s">
        <v>56</v>
      </c>
      <c r="M41" s="84"/>
      <c r="N41" s="84"/>
      <c r="O41" s="84"/>
      <c r="P41" s="85"/>
      <c r="Q41" s="81" t="s">
        <v>20</v>
      </c>
      <c r="R41" s="81"/>
      <c r="S41" s="81"/>
      <c r="T41" s="78"/>
      <c r="U41" s="79"/>
      <c r="V41" s="79"/>
      <c r="W41" s="80"/>
      <c r="X41" s="72">
        <v>6.5170000000000002E-3</v>
      </c>
      <c r="Y41" s="73"/>
      <c r="Z41" s="73"/>
      <c r="AA41" s="73"/>
      <c r="AB41" s="73"/>
      <c r="AC41" s="73"/>
      <c r="AD41" s="73"/>
      <c r="AE41" s="74"/>
      <c r="AF41" s="34" t="str">
        <f t="shared" si="0"/>
        <v/>
      </c>
      <c r="AG41" s="35"/>
      <c r="AH41" s="35"/>
      <c r="AI41" s="35"/>
      <c r="AJ41" s="35"/>
      <c r="AK41" s="35"/>
      <c r="AL41" s="35"/>
      <c r="AM41" s="35"/>
      <c r="AN41" s="35"/>
      <c r="AO41" s="36"/>
    </row>
    <row r="42" spans="1:88" ht="18.95" customHeight="1">
      <c r="A42" s="61"/>
      <c r="B42" s="62"/>
      <c r="C42" s="62"/>
      <c r="D42" s="62"/>
      <c r="E42" s="62"/>
      <c r="F42" s="62"/>
      <c r="G42" s="62"/>
      <c r="H42" s="62"/>
      <c r="I42" s="62"/>
      <c r="J42" s="62"/>
      <c r="K42" s="63"/>
      <c r="L42" s="83" t="s">
        <v>57</v>
      </c>
      <c r="M42" s="84"/>
      <c r="N42" s="84"/>
      <c r="O42" s="84"/>
      <c r="P42" s="85"/>
      <c r="Q42" s="81" t="s">
        <v>20</v>
      </c>
      <c r="R42" s="81"/>
      <c r="S42" s="81"/>
      <c r="T42" s="78"/>
      <c r="U42" s="79"/>
      <c r="V42" s="79"/>
      <c r="W42" s="80"/>
      <c r="X42" s="72">
        <v>1.5207E-2</v>
      </c>
      <c r="Y42" s="73"/>
      <c r="Z42" s="73"/>
      <c r="AA42" s="73"/>
      <c r="AB42" s="73"/>
      <c r="AC42" s="73"/>
      <c r="AD42" s="73"/>
      <c r="AE42" s="74"/>
      <c r="AF42" s="34" t="str">
        <f t="shared" si="0"/>
        <v/>
      </c>
      <c r="AG42" s="35"/>
      <c r="AH42" s="35"/>
      <c r="AI42" s="35"/>
      <c r="AJ42" s="35"/>
      <c r="AK42" s="35"/>
      <c r="AL42" s="35"/>
      <c r="AM42" s="35"/>
      <c r="AN42" s="35"/>
      <c r="AO42" s="36"/>
      <c r="AV42" s="1"/>
      <c r="AW42" s="1"/>
      <c r="AX42" s="1"/>
      <c r="AY42" s="1"/>
      <c r="AZ42" s="1"/>
      <c r="BA42" s="1"/>
      <c r="BB42" s="1"/>
    </row>
    <row r="43" spans="1:88" ht="18.95" customHeight="1">
      <c r="A43" s="61"/>
      <c r="B43" s="62"/>
      <c r="C43" s="62"/>
      <c r="D43" s="62"/>
      <c r="E43" s="62"/>
      <c r="F43" s="62"/>
      <c r="G43" s="62"/>
      <c r="H43" s="62"/>
      <c r="I43" s="62"/>
      <c r="J43" s="62"/>
      <c r="K43" s="63"/>
      <c r="L43" s="83" t="s">
        <v>58</v>
      </c>
      <c r="M43" s="84"/>
      <c r="N43" s="84"/>
      <c r="O43" s="84"/>
      <c r="P43" s="85"/>
      <c r="Q43" s="81" t="s">
        <v>20</v>
      </c>
      <c r="R43" s="81"/>
      <c r="S43" s="81"/>
      <c r="T43" s="78"/>
      <c r="U43" s="79"/>
      <c r="V43" s="79"/>
      <c r="W43" s="80"/>
      <c r="X43" s="72">
        <v>6.5170000000000002E-3</v>
      </c>
      <c r="Y43" s="73"/>
      <c r="Z43" s="73"/>
      <c r="AA43" s="73"/>
      <c r="AB43" s="73"/>
      <c r="AC43" s="73"/>
      <c r="AD43" s="73"/>
      <c r="AE43" s="74"/>
      <c r="AF43" s="34" t="str">
        <f t="shared" si="0"/>
        <v/>
      </c>
      <c r="AG43" s="35"/>
      <c r="AH43" s="35"/>
      <c r="AI43" s="35"/>
      <c r="AJ43" s="35"/>
      <c r="AK43" s="35"/>
      <c r="AL43" s="35"/>
      <c r="AM43" s="35"/>
      <c r="AN43" s="35"/>
      <c r="AO43" s="36"/>
      <c r="AV43" s="1"/>
      <c r="AW43" s="1"/>
      <c r="AX43" s="1"/>
      <c r="AY43" s="1"/>
      <c r="AZ43" s="1"/>
      <c r="BA43" s="1"/>
      <c r="BB43" s="1"/>
    </row>
    <row r="44" spans="1:88" ht="18.95" customHeight="1" thickBot="1">
      <c r="A44" s="61"/>
      <c r="B44" s="62"/>
      <c r="C44" s="62"/>
      <c r="D44" s="62"/>
      <c r="E44" s="62"/>
      <c r="F44" s="62"/>
      <c r="G44" s="62"/>
      <c r="H44" s="62"/>
      <c r="I44" s="62"/>
      <c r="J44" s="62"/>
      <c r="K44" s="63"/>
      <c r="L44" s="98" t="s">
        <v>59</v>
      </c>
      <c r="M44" s="99"/>
      <c r="N44" s="99"/>
      <c r="O44" s="99"/>
      <c r="P44" s="100"/>
      <c r="Q44" s="82" t="s">
        <v>20</v>
      </c>
      <c r="R44" s="82"/>
      <c r="S44" s="82"/>
      <c r="T44" s="78"/>
      <c r="U44" s="79"/>
      <c r="V44" s="79"/>
      <c r="W44" s="80"/>
      <c r="X44" s="75">
        <v>3.258E-3</v>
      </c>
      <c r="Y44" s="76"/>
      <c r="Z44" s="76"/>
      <c r="AA44" s="76"/>
      <c r="AB44" s="76"/>
      <c r="AC44" s="76"/>
      <c r="AD44" s="76"/>
      <c r="AE44" s="77"/>
      <c r="AF44" s="55" t="str">
        <f t="shared" si="0"/>
        <v/>
      </c>
      <c r="AG44" s="56"/>
      <c r="AH44" s="56"/>
      <c r="AI44" s="56"/>
      <c r="AJ44" s="56"/>
      <c r="AK44" s="56"/>
      <c r="AL44" s="56"/>
      <c r="AM44" s="56"/>
      <c r="AN44" s="56"/>
      <c r="AO44" s="57"/>
      <c r="AV44" s="1"/>
      <c r="AW44" s="1"/>
      <c r="AX44" s="1"/>
      <c r="AY44" s="1"/>
      <c r="AZ44" s="1"/>
      <c r="BA44" s="1"/>
      <c r="BB44" s="1"/>
    </row>
    <row r="45" spans="1:88" ht="17.45" customHeight="1" thickBot="1">
      <c r="A45" s="96" t="s">
        <v>60</v>
      </c>
      <c r="B45" s="97"/>
      <c r="C45" s="97"/>
      <c r="D45" s="97"/>
      <c r="E45" s="97"/>
      <c r="F45" s="97"/>
      <c r="G45" s="97"/>
      <c r="H45" s="97"/>
      <c r="I45" s="97"/>
      <c r="J45" s="97"/>
      <c r="K45" s="97"/>
      <c r="L45" s="97"/>
      <c r="M45" s="97"/>
      <c r="N45" s="97"/>
      <c r="O45" s="97"/>
      <c r="P45" s="97"/>
      <c r="Q45" s="97"/>
      <c r="R45" s="97"/>
      <c r="S45" s="97"/>
      <c r="T45" s="97"/>
      <c r="U45" s="97"/>
      <c r="V45" s="97"/>
      <c r="W45" s="97"/>
      <c r="X45" s="97"/>
      <c r="Y45" s="97"/>
      <c r="Z45" s="97"/>
      <c r="AA45" s="97"/>
      <c r="AB45" s="97"/>
      <c r="AC45" s="97"/>
      <c r="AD45" s="97"/>
      <c r="AE45" s="97"/>
      <c r="AF45" s="121">
        <f>SUM(AF9:AO44)</f>
        <v>0</v>
      </c>
      <c r="AG45" s="53"/>
      <c r="AH45" s="53"/>
      <c r="AI45" s="53"/>
      <c r="AJ45" s="53"/>
      <c r="AK45" s="53"/>
      <c r="AL45" s="53"/>
      <c r="AM45" s="53"/>
      <c r="AN45" s="53"/>
      <c r="AO45" s="54"/>
      <c r="AV45" s="1"/>
      <c r="AW45" s="1"/>
      <c r="AX45" s="1"/>
      <c r="AY45" s="1"/>
      <c r="AZ45" s="1"/>
      <c r="BA45" s="1"/>
      <c r="BB45" s="1"/>
    </row>
    <row r="46" spans="1:88" ht="24.75" customHeight="1">
      <c r="A46" s="87" t="s">
        <v>61</v>
      </c>
      <c r="B46" s="88"/>
      <c r="C46" s="88"/>
      <c r="D46" s="88"/>
      <c r="E46" s="88"/>
      <c r="F46" s="88"/>
      <c r="G46" s="88"/>
      <c r="H46" s="88"/>
      <c r="I46" s="88"/>
      <c r="J46" s="88"/>
      <c r="K46" s="88"/>
      <c r="L46" s="88"/>
      <c r="M46" s="88"/>
      <c r="N46" s="88"/>
      <c r="O46" s="88"/>
      <c r="P46" s="88"/>
      <c r="Q46" s="88"/>
      <c r="R46" s="88"/>
      <c r="S46" s="88"/>
      <c r="T46" s="88"/>
      <c r="U46" s="88"/>
      <c r="V46" s="88"/>
      <c r="W46" s="88"/>
      <c r="X46" s="88"/>
      <c r="Y46" s="88"/>
      <c r="Z46" s="88"/>
      <c r="AA46" s="88"/>
      <c r="AB46" s="88"/>
      <c r="AC46" s="88"/>
      <c r="AD46" s="88"/>
      <c r="AE46" s="88"/>
      <c r="AF46" s="88"/>
      <c r="AG46" s="88"/>
      <c r="AH46" s="88"/>
      <c r="AI46" s="88"/>
      <c r="AJ46" s="88"/>
      <c r="AK46" s="88"/>
      <c r="AL46" s="88"/>
      <c r="AM46" s="88"/>
      <c r="AN46" s="88"/>
      <c r="AO46" s="89"/>
      <c r="AV46" s="1"/>
      <c r="AW46" s="1"/>
      <c r="AX46" s="1"/>
      <c r="AY46" s="1"/>
      <c r="AZ46" s="1"/>
      <c r="BA46" s="1"/>
      <c r="BB46" s="1"/>
    </row>
    <row r="47" spans="1:88" ht="21.95" customHeight="1">
      <c r="A47" s="42" t="s">
        <v>62</v>
      </c>
      <c r="B47" s="43"/>
      <c r="C47" s="43"/>
      <c r="D47" s="43"/>
      <c r="E47" s="43"/>
      <c r="F47" s="43"/>
      <c r="G47" s="43"/>
      <c r="H47" s="43"/>
      <c r="I47" s="43"/>
      <c r="J47" s="43"/>
      <c r="K47" s="43"/>
      <c r="L47" s="43"/>
      <c r="M47" s="8"/>
      <c r="N47" s="8"/>
      <c r="O47" s="8"/>
      <c r="P47" s="9" t="s">
        <v>63</v>
      </c>
      <c r="Q47" s="29" t="s">
        <v>64</v>
      </c>
      <c r="R47" s="30"/>
      <c r="S47" s="30"/>
      <c r="T47" s="30"/>
      <c r="U47" s="30"/>
      <c r="V47" s="30"/>
      <c r="W47" s="31"/>
      <c r="X47" s="29" t="s">
        <v>16</v>
      </c>
      <c r="Y47" s="30"/>
      <c r="Z47" s="30"/>
      <c r="AA47" s="30"/>
      <c r="AB47" s="30"/>
      <c r="AC47" s="30"/>
      <c r="AD47" s="30"/>
      <c r="AE47" s="31"/>
      <c r="AF47" s="29" t="s">
        <v>17</v>
      </c>
      <c r="AG47" s="30"/>
      <c r="AH47" s="30"/>
      <c r="AI47" s="30"/>
      <c r="AJ47" s="30"/>
      <c r="AK47" s="30"/>
      <c r="AL47" s="30"/>
      <c r="AM47" s="30"/>
      <c r="AN47" s="30"/>
      <c r="AO47" s="86"/>
      <c r="AV47" s="1"/>
      <c r="AW47" s="1"/>
      <c r="AX47" s="1"/>
      <c r="AY47" s="1"/>
      <c r="AZ47" s="1"/>
      <c r="BA47" s="1"/>
      <c r="BB47" s="1"/>
    </row>
    <row r="48" spans="1:88" s="1" customFormat="1" ht="14.25">
      <c r="A48" s="44" t="s">
        <v>65</v>
      </c>
      <c r="B48" s="45"/>
      <c r="C48" s="45"/>
      <c r="D48" s="45"/>
      <c r="E48" s="45"/>
      <c r="F48" s="45"/>
      <c r="G48" s="45"/>
      <c r="H48" s="45"/>
      <c r="I48" s="45"/>
      <c r="J48" s="45"/>
      <c r="K48" s="45"/>
      <c r="L48" s="45"/>
      <c r="M48" s="10"/>
      <c r="N48" s="11"/>
      <c r="O48" s="11"/>
      <c r="P48" s="12" t="s">
        <v>66</v>
      </c>
      <c r="Q48" s="90"/>
      <c r="R48" s="91"/>
      <c r="S48" s="91"/>
      <c r="T48" s="91"/>
      <c r="U48" s="91"/>
      <c r="V48" s="91"/>
      <c r="W48" s="92"/>
      <c r="X48" s="93">
        <v>1.0914999999999999E-2</v>
      </c>
      <c r="Y48" s="94"/>
      <c r="Z48" s="94"/>
      <c r="AA48" s="94"/>
      <c r="AB48" s="94"/>
      <c r="AC48" s="94"/>
      <c r="AD48" s="94"/>
      <c r="AE48" s="95"/>
      <c r="AF48" s="27" t="str">
        <f>IF(Q48="","",Q48*X48)</f>
        <v/>
      </c>
      <c r="AG48" s="28"/>
      <c r="AH48" s="28"/>
      <c r="AI48" s="28"/>
      <c r="AJ48" s="28"/>
      <c r="AK48" s="28"/>
      <c r="AL48" s="28"/>
      <c r="AM48" s="28"/>
      <c r="AN48" s="28"/>
      <c r="AO48" s="101"/>
      <c r="AZ48" s="5"/>
      <c r="BA48" s="5"/>
      <c r="BB48" s="5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3"/>
      <c r="CH48" s="3"/>
      <c r="CI48" s="3"/>
      <c r="CJ48" s="3"/>
    </row>
    <row r="49" spans="1:88" s="1" customFormat="1" ht="14.25">
      <c r="A49" s="46"/>
      <c r="B49" s="47"/>
      <c r="C49" s="47"/>
      <c r="D49" s="47"/>
      <c r="E49" s="47"/>
      <c r="F49" s="47"/>
      <c r="G49" s="47"/>
      <c r="H49" s="47"/>
      <c r="I49" s="47"/>
      <c r="J49" s="47"/>
      <c r="K49" s="47"/>
      <c r="L49" s="47"/>
      <c r="M49" s="10"/>
      <c r="N49" s="11"/>
      <c r="O49" s="11"/>
      <c r="P49" s="12" t="s">
        <v>67</v>
      </c>
      <c r="Q49" s="90"/>
      <c r="R49" s="91"/>
      <c r="S49" s="91"/>
      <c r="T49" s="91"/>
      <c r="U49" s="91"/>
      <c r="V49" s="91"/>
      <c r="W49" s="92"/>
      <c r="X49" s="93">
        <v>2.1829999999999999E-2</v>
      </c>
      <c r="Y49" s="94"/>
      <c r="Z49" s="94"/>
      <c r="AA49" s="94"/>
      <c r="AB49" s="94"/>
      <c r="AC49" s="94"/>
      <c r="AD49" s="94"/>
      <c r="AE49" s="95"/>
      <c r="AF49" s="27" t="str">
        <f t="shared" ref="AF49:AF54" si="1">IF(Q49="","",Q49*X49)</f>
        <v/>
      </c>
      <c r="AG49" s="28"/>
      <c r="AH49" s="28"/>
      <c r="AI49" s="28"/>
      <c r="AJ49" s="28"/>
      <c r="AK49" s="28"/>
      <c r="AL49" s="28"/>
      <c r="AM49" s="28"/>
      <c r="AN49" s="28"/>
      <c r="AO49" s="101"/>
      <c r="AZ49" s="5"/>
      <c r="BA49" s="5"/>
      <c r="BB49" s="5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3"/>
      <c r="CH49" s="3"/>
      <c r="CI49" s="3"/>
      <c r="CJ49" s="3"/>
    </row>
    <row r="50" spans="1:88" s="1" customFormat="1" ht="14.25">
      <c r="A50" s="48"/>
      <c r="B50" s="49"/>
      <c r="C50" s="49"/>
      <c r="D50" s="49"/>
      <c r="E50" s="49"/>
      <c r="F50" s="49"/>
      <c r="G50" s="49"/>
      <c r="H50" s="49"/>
      <c r="I50" s="49"/>
      <c r="J50" s="49"/>
      <c r="K50" s="49"/>
      <c r="L50" s="49"/>
      <c r="M50" s="10"/>
      <c r="N50" s="11"/>
      <c r="O50" s="11"/>
      <c r="P50" s="12" t="s">
        <v>68</v>
      </c>
      <c r="Q50" s="90"/>
      <c r="R50" s="91"/>
      <c r="S50" s="91"/>
      <c r="T50" s="91"/>
      <c r="U50" s="91"/>
      <c r="V50" s="91"/>
      <c r="W50" s="92"/>
      <c r="X50" s="93">
        <v>3.2745999999999997E-2</v>
      </c>
      <c r="Y50" s="94"/>
      <c r="Z50" s="94"/>
      <c r="AA50" s="94"/>
      <c r="AB50" s="94"/>
      <c r="AC50" s="94"/>
      <c r="AD50" s="94"/>
      <c r="AE50" s="95"/>
      <c r="AF50" s="27" t="str">
        <f t="shared" si="1"/>
        <v/>
      </c>
      <c r="AG50" s="28"/>
      <c r="AH50" s="28"/>
      <c r="AI50" s="28"/>
      <c r="AJ50" s="28"/>
      <c r="AK50" s="28"/>
      <c r="AL50" s="28"/>
      <c r="AM50" s="28"/>
      <c r="AN50" s="28"/>
      <c r="AO50" s="101"/>
      <c r="AZ50" s="5"/>
      <c r="BA50" s="5"/>
      <c r="BB50" s="5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3"/>
      <c r="CH50" s="3"/>
      <c r="CI50" s="3"/>
      <c r="CJ50" s="3"/>
    </row>
    <row r="51" spans="1:88" s="1" customFormat="1" ht="14.25">
      <c r="A51" s="44" t="s">
        <v>69</v>
      </c>
      <c r="B51" s="45"/>
      <c r="C51" s="45"/>
      <c r="D51" s="45"/>
      <c r="E51" s="45"/>
      <c r="F51" s="45"/>
      <c r="G51" s="45"/>
      <c r="H51" s="45"/>
      <c r="I51" s="45"/>
      <c r="J51" s="45"/>
      <c r="K51" s="45"/>
      <c r="L51" s="45"/>
      <c r="M51" s="10"/>
      <c r="N51" s="11"/>
      <c r="O51" s="11"/>
      <c r="P51" s="12" t="s">
        <v>66</v>
      </c>
      <c r="Q51" s="90"/>
      <c r="R51" s="91"/>
      <c r="S51" s="91"/>
      <c r="T51" s="91"/>
      <c r="U51" s="91"/>
      <c r="V51" s="91"/>
      <c r="W51" s="92"/>
      <c r="X51" s="93">
        <v>1.0817999999999999E-2</v>
      </c>
      <c r="Y51" s="94"/>
      <c r="Z51" s="94"/>
      <c r="AA51" s="94"/>
      <c r="AB51" s="94"/>
      <c r="AC51" s="94"/>
      <c r="AD51" s="94"/>
      <c r="AE51" s="95"/>
      <c r="AF51" s="27" t="str">
        <f t="shared" si="1"/>
        <v/>
      </c>
      <c r="AG51" s="28"/>
      <c r="AH51" s="28"/>
      <c r="AI51" s="28"/>
      <c r="AJ51" s="28"/>
      <c r="AK51" s="28"/>
      <c r="AL51" s="28"/>
      <c r="AM51" s="28"/>
      <c r="AN51" s="28"/>
      <c r="AO51" s="101"/>
      <c r="AW51" s="1" t="s">
        <v>70</v>
      </c>
      <c r="AZ51" s="5"/>
      <c r="BA51" s="5"/>
      <c r="BB51" s="5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3"/>
      <c r="CH51" s="3"/>
      <c r="CI51" s="3"/>
      <c r="CJ51" s="3"/>
    </row>
    <row r="52" spans="1:88" s="1" customFormat="1" ht="14.25">
      <c r="A52" s="46"/>
      <c r="B52" s="47"/>
      <c r="C52" s="47"/>
      <c r="D52" s="47"/>
      <c r="E52" s="47"/>
      <c r="F52" s="47"/>
      <c r="G52" s="47"/>
      <c r="H52" s="47"/>
      <c r="I52" s="47"/>
      <c r="J52" s="47"/>
      <c r="K52" s="47"/>
      <c r="L52" s="47"/>
      <c r="M52" s="10"/>
      <c r="N52" s="11"/>
      <c r="O52" s="11"/>
      <c r="P52" s="12" t="s">
        <v>67</v>
      </c>
      <c r="Q52" s="90"/>
      <c r="R52" s="91"/>
      <c r="S52" s="91"/>
      <c r="T52" s="91"/>
      <c r="U52" s="91"/>
      <c r="V52" s="91"/>
      <c r="W52" s="92"/>
      <c r="X52" s="93">
        <v>1.6226999999999998E-2</v>
      </c>
      <c r="Y52" s="94"/>
      <c r="Z52" s="94"/>
      <c r="AA52" s="94"/>
      <c r="AB52" s="94"/>
      <c r="AC52" s="94"/>
      <c r="AD52" s="94"/>
      <c r="AE52" s="95"/>
      <c r="AF52" s="27" t="str">
        <f t="shared" si="1"/>
        <v/>
      </c>
      <c r="AG52" s="28"/>
      <c r="AH52" s="28"/>
      <c r="AI52" s="28"/>
      <c r="AJ52" s="28"/>
      <c r="AK52" s="28"/>
      <c r="AL52" s="28"/>
      <c r="AM52" s="28"/>
      <c r="AN52" s="28"/>
      <c r="AO52" s="101"/>
      <c r="AW52" s="1" t="s">
        <v>71</v>
      </c>
      <c r="AZ52" s="5"/>
      <c r="BA52" s="5"/>
      <c r="BB52" s="5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3"/>
      <c r="CH52" s="3"/>
      <c r="CI52" s="3"/>
      <c r="CJ52" s="3"/>
    </row>
    <row r="53" spans="1:88" s="1" customFormat="1" ht="14.25">
      <c r="A53" s="48"/>
      <c r="B53" s="49"/>
      <c r="C53" s="49"/>
      <c r="D53" s="49"/>
      <c r="E53" s="49"/>
      <c r="F53" s="49"/>
      <c r="G53" s="49"/>
      <c r="H53" s="49"/>
      <c r="I53" s="49"/>
      <c r="J53" s="49"/>
      <c r="K53" s="49"/>
      <c r="L53" s="49"/>
      <c r="M53" s="10"/>
      <c r="N53" s="11"/>
      <c r="O53" s="11"/>
      <c r="P53" s="12" t="s">
        <v>68</v>
      </c>
      <c r="Q53" s="90"/>
      <c r="R53" s="91"/>
      <c r="S53" s="91"/>
      <c r="T53" s="91"/>
      <c r="U53" s="91"/>
      <c r="V53" s="91"/>
      <c r="W53" s="92"/>
      <c r="X53" s="93">
        <v>2.1635000000000001E-2</v>
      </c>
      <c r="Y53" s="94"/>
      <c r="Z53" s="94"/>
      <c r="AA53" s="94"/>
      <c r="AB53" s="94"/>
      <c r="AC53" s="94"/>
      <c r="AD53" s="94"/>
      <c r="AE53" s="95"/>
      <c r="AF53" s="27" t="str">
        <f t="shared" si="1"/>
        <v/>
      </c>
      <c r="AG53" s="28"/>
      <c r="AH53" s="28"/>
      <c r="AI53" s="28"/>
      <c r="AJ53" s="28"/>
      <c r="AK53" s="28"/>
      <c r="AL53" s="28"/>
      <c r="AM53" s="28"/>
      <c r="AN53" s="28"/>
      <c r="AO53" s="101"/>
      <c r="AW53" s="1" t="s">
        <v>72</v>
      </c>
      <c r="AZ53" s="5"/>
      <c r="BA53" s="5"/>
      <c r="BB53" s="5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3"/>
      <c r="CH53" s="3"/>
      <c r="CI53" s="3"/>
      <c r="CJ53" s="3"/>
    </row>
    <row r="54" spans="1:88" s="1" customFormat="1" ht="15" thickBot="1">
      <c r="A54" s="44" t="s">
        <v>73</v>
      </c>
      <c r="B54" s="45"/>
      <c r="C54" s="45"/>
      <c r="D54" s="45"/>
      <c r="E54" s="45"/>
      <c r="F54" s="45"/>
      <c r="G54" s="45"/>
      <c r="H54" s="45"/>
      <c r="I54" s="45"/>
      <c r="J54" s="45"/>
      <c r="K54" s="45"/>
      <c r="L54" s="45"/>
      <c r="M54" s="45"/>
      <c r="N54" s="45"/>
      <c r="O54" s="45"/>
      <c r="P54" s="135"/>
      <c r="Q54" s="131"/>
      <c r="R54" s="132"/>
      <c r="S54" s="132"/>
      <c r="T54" s="132"/>
      <c r="U54" s="132"/>
      <c r="V54" s="132"/>
      <c r="W54" s="133"/>
      <c r="X54" s="134">
        <v>3.4615E-2</v>
      </c>
      <c r="Y54" s="134"/>
      <c r="Z54" s="134"/>
      <c r="AA54" s="134"/>
      <c r="AB54" s="134"/>
      <c r="AC54" s="134"/>
      <c r="AD54" s="134"/>
      <c r="AE54" s="134"/>
      <c r="AF54" s="104" t="str">
        <f t="shared" si="1"/>
        <v/>
      </c>
      <c r="AG54" s="105"/>
      <c r="AH54" s="105"/>
      <c r="AI54" s="105"/>
      <c r="AJ54" s="105"/>
      <c r="AK54" s="105"/>
      <c r="AL54" s="105"/>
      <c r="AM54" s="105"/>
      <c r="AN54" s="105"/>
      <c r="AO54" s="106"/>
      <c r="AW54" s="1" t="s">
        <v>74</v>
      </c>
      <c r="AZ54" s="5"/>
      <c r="BA54" s="5"/>
      <c r="BB54" s="5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3"/>
      <c r="CH54" s="3"/>
      <c r="CI54" s="3"/>
      <c r="CJ54" s="3"/>
    </row>
    <row r="55" spans="1:88" s="1" customFormat="1" ht="15" customHeight="1" thickBot="1">
      <c r="A55" s="50" t="s">
        <v>60</v>
      </c>
      <c r="B55" s="51"/>
      <c r="C55" s="51"/>
      <c r="D55" s="51"/>
      <c r="E55" s="51"/>
      <c r="F55" s="51"/>
      <c r="G55" s="51"/>
      <c r="H55" s="51"/>
      <c r="I55" s="51"/>
      <c r="J55" s="51"/>
      <c r="K55" s="51"/>
      <c r="L55" s="51"/>
      <c r="M55" s="51"/>
      <c r="N55" s="51"/>
      <c r="O55" s="51"/>
      <c r="P55" s="51"/>
      <c r="Q55" s="51"/>
      <c r="R55" s="51"/>
      <c r="S55" s="51"/>
      <c r="T55" s="51"/>
      <c r="U55" s="51"/>
      <c r="V55" s="51"/>
      <c r="W55" s="51"/>
      <c r="X55" s="51"/>
      <c r="Y55" s="51"/>
      <c r="Z55" s="51"/>
      <c r="AA55" s="51"/>
      <c r="AB55" s="51"/>
      <c r="AC55" s="51"/>
      <c r="AD55" s="51"/>
      <c r="AE55" s="51"/>
      <c r="AF55" s="107">
        <f>SUM(AF48:AO54)</f>
        <v>0</v>
      </c>
      <c r="AG55" s="108"/>
      <c r="AH55" s="108"/>
      <c r="AI55" s="108"/>
      <c r="AJ55" s="108"/>
      <c r="AK55" s="108"/>
      <c r="AL55" s="108"/>
      <c r="AM55" s="108"/>
      <c r="AN55" s="108"/>
      <c r="AO55" s="109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</row>
    <row r="56" spans="1:88" s="1" customFormat="1" ht="15" customHeight="1">
      <c r="A56" s="87" t="s">
        <v>75</v>
      </c>
      <c r="B56" s="88"/>
      <c r="C56" s="88"/>
      <c r="D56" s="88"/>
      <c r="E56" s="88"/>
      <c r="F56" s="88"/>
      <c r="G56" s="88"/>
      <c r="H56" s="88"/>
      <c r="I56" s="88"/>
      <c r="J56" s="88"/>
      <c r="K56" s="88"/>
      <c r="L56" s="88"/>
      <c r="M56" s="88"/>
      <c r="N56" s="88"/>
      <c r="O56" s="88"/>
      <c r="P56" s="88"/>
      <c r="Q56" s="88"/>
      <c r="R56" s="88"/>
      <c r="S56" s="88"/>
      <c r="T56" s="88"/>
      <c r="U56" s="88"/>
      <c r="V56" s="88"/>
      <c r="W56" s="88"/>
      <c r="X56" s="88"/>
      <c r="Y56" s="88"/>
      <c r="Z56" s="88"/>
      <c r="AA56" s="88"/>
      <c r="AB56" s="88"/>
      <c r="AC56" s="88"/>
      <c r="AD56" s="88"/>
      <c r="AE56" s="88"/>
      <c r="AF56" s="88"/>
      <c r="AG56" s="88"/>
      <c r="AH56" s="88"/>
      <c r="AI56" s="88"/>
      <c r="AJ56" s="88"/>
      <c r="AK56" s="88"/>
      <c r="AL56" s="88"/>
      <c r="AM56" s="88"/>
      <c r="AN56" s="88"/>
      <c r="AO56" s="89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</row>
    <row r="57" spans="1:88" s="1" customFormat="1" ht="15" customHeight="1">
      <c r="A57" s="102" t="s">
        <v>76</v>
      </c>
      <c r="B57" s="30"/>
      <c r="C57" s="30"/>
      <c r="D57" s="30"/>
      <c r="E57" s="30"/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1"/>
      <c r="Q57" s="29" t="s">
        <v>77</v>
      </c>
      <c r="R57" s="30"/>
      <c r="S57" s="30"/>
      <c r="T57" s="31"/>
      <c r="U57" s="32" t="s">
        <v>78</v>
      </c>
      <c r="V57" s="32"/>
      <c r="W57" s="32"/>
      <c r="X57" s="32"/>
      <c r="Y57" s="32"/>
      <c r="Z57" s="32"/>
      <c r="AA57" s="32"/>
      <c r="AB57" s="32"/>
      <c r="AC57" s="30" t="s">
        <v>16</v>
      </c>
      <c r="AD57" s="30"/>
      <c r="AE57" s="30"/>
      <c r="AF57" s="30"/>
      <c r="AG57" s="30"/>
      <c r="AH57" s="30"/>
      <c r="AI57" s="30"/>
      <c r="AJ57" s="30"/>
      <c r="AK57" s="30"/>
      <c r="AL57" s="30"/>
      <c r="AM57" s="31"/>
      <c r="AN57" s="32" t="s">
        <v>79</v>
      </c>
      <c r="AO57" s="125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</row>
    <row r="58" spans="1:88" s="1" customFormat="1" ht="14.25">
      <c r="A58" s="128" t="s">
        <v>80</v>
      </c>
      <c r="B58" s="129"/>
      <c r="C58" s="129"/>
      <c r="D58" s="129"/>
      <c r="E58" s="129"/>
      <c r="F58" s="129"/>
      <c r="G58" s="129"/>
      <c r="H58" s="129"/>
      <c r="I58" s="129"/>
      <c r="J58" s="129"/>
      <c r="K58" s="129"/>
      <c r="L58" s="129"/>
      <c r="M58" s="129"/>
      <c r="N58" s="129"/>
      <c r="O58" s="129"/>
      <c r="P58" s="130"/>
      <c r="Q58" s="27" t="s">
        <v>81</v>
      </c>
      <c r="R58" s="28"/>
      <c r="S58" s="28"/>
      <c r="T58" s="33"/>
      <c r="U58" s="71"/>
      <c r="V58" s="71"/>
      <c r="W58" s="71"/>
      <c r="X58" s="71"/>
      <c r="Y58" s="71"/>
      <c r="Z58" s="71"/>
      <c r="AA58" s="71"/>
      <c r="AB58" s="71"/>
      <c r="AC58" s="68">
        <v>2.709E-3</v>
      </c>
      <c r="AD58" s="69"/>
      <c r="AE58" s="69"/>
      <c r="AF58" s="69"/>
      <c r="AG58" s="69"/>
      <c r="AH58" s="69"/>
      <c r="AI58" s="69"/>
      <c r="AJ58" s="69"/>
      <c r="AK58" s="69"/>
      <c r="AL58" s="69"/>
      <c r="AM58" s="70"/>
      <c r="AN58" s="126">
        <f>U58*AC58</f>
        <v>0</v>
      </c>
      <c r="AO58" s="127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</row>
    <row r="59" spans="1:88" s="1" customFormat="1" ht="14.25">
      <c r="A59" s="128" t="s">
        <v>82</v>
      </c>
      <c r="B59" s="129"/>
      <c r="C59" s="129"/>
      <c r="D59" s="129"/>
      <c r="E59" s="129"/>
      <c r="F59" s="129"/>
      <c r="G59" s="129"/>
      <c r="H59" s="129"/>
      <c r="I59" s="129"/>
      <c r="J59" s="129"/>
      <c r="K59" s="129"/>
      <c r="L59" s="129"/>
      <c r="M59" s="129"/>
      <c r="N59" s="129"/>
      <c r="O59" s="129"/>
      <c r="P59" s="130"/>
      <c r="Q59" s="27" t="s">
        <v>14</v>
      </c>
      <c r="R59" s="28"/>
      <c r="S59" s="28"/>
      <c r="T59" s="33"/>
      <c r="U59" s="27"/>
      <c r="V59" s="28"/>
      <c r="W59" s="28"/>
      <c r="X59" s="28"/>
      <c r="Y59" s="28"/>
      <c r="Z59" s="28"/>
      <c r="AA59" s="28"/>
      <c r="AB59" s="28"/>
      <c r="AC59" s="68">
        <v>12.60304</v>
      </c>
      <c r="AD59" s="69"/>
      <c r="AE59" s="69"/>
      <c r="AF59" s="69"/>
      <c r="AG59" s="69"/>
      <c r="AH59" s="69"/>
      <c r="AI59" s="69"/>
      <c r="AJ59" s="69"/>
      <c r="AK59" s="69"/>
      <c r="AL59" s="69"/>
      <c r="AM59" s="70"/>
      <c r="AN59" s="126"/>
      <c r="AO59" s="127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</row>
    <row r="60" spans="1:88" s="1" customFormat="1" ht="14.25">
      <c r="A60" s="128" t="s">
        <v>83</v>
      </c>
      <c r="B60" s="129"/>
      <c r="C60" s="129"/>
      <c r="D60" s="129"/>
      <c r="E60" s="129"/>
      <c r="F60" s="129"/>
      <c r="G60" s="129"/>
      <c r="H60" s="129"/>
      <c r="I60" s="129"/>
      <c r="J60" s="129"/>
      <c r="K60" s="129"/>
      <c r="L60" s="129"/>
      <c r="M60" s="129"/>
      <c r="N60" s="129"/>
      <c r="O60" s="129"/>
      <c r="P60" s="130"/>
      <c r="Q60" s="27" t="s">
        <v>14</v>
      </c>
      <c r="R60" s="28"/>
      <c r="S60" s="28"/>
      <c r="T60" s="33"/>
      <c r="U60" s="27"/>
      <c r="V60" s="28"/>
      <c r="W60" s="28"/>
      <c r="X60" s="28"/>
      <c r="Y60" s="28"/>
      <c r="Z60" s="28"/>
      <c r="AA60" s="28"/>
      <c r="AB60" s="28"/>
      <c r="AC60" s="68">
        <v>6.30152</v>
      </c>
      <c r="AD60" s="69"/>
      <c r="AE60" s="69"/>
      <c r="AF60" s="69"/>
      <c r="AG60" s="69"/>
      <c r="AH60" s="69"/>
      <c r="AI60" s="69"/>
      <c r="AJ60" s="69"/>
      <c r="AK60" s="69"/>
      <c r="AL60" s="69"/>
      <c r="AM60" s="70"/>
      <c r="AN60" s="126"/>
      <c r="AO60" s="127"/>
    </row>
    <row r="61" spans="1:88" s="1" customFormat="1" ht="14.25">
      <c r="A61" s="128" t="s">
        <v>84</v>
      </c>
      <c r="B61" s="129"/>
      <c r="C61" s="129"/>
      <c r="D61" s="129"/>
      <c r="E61" s="129"/>
      <c r="F61" s="129"/>
      <c r="G61" s="129"/>
      <c r="H61" s="129"/>
      <c r="I61" s="129"/>
      <c r="J61" s="129"/>
      <c r="K61" s="129"/>
      <c r="L61" s="129"/>
      <c r="M61" s="129"/>
      <c r="N61" s="129"/>
      <c r="O61" s="129"/>
      <c r="P61" s="130"/>
      <c r="Q61" s="27" t="s">
        <v>85</v>
      </c>
      <c r="R61" s="28"/>
      <c r="S61" s="28"/>
      <c r="T61" s="33"/>
      <c r="U61" s="27"/>
      <c r="V61" s="28"/>
      <c r="W61" s="28"/>
      <c r="X61" s="28"/>
      <c r="Y61" s="28"/>
      <c r="Z61" s="28"/>
      <c r="AA61" s="28"/>
      <c r="AB61" s="28"/>
      <c r="AC61" s="68">
        <v>2.3029999999999999E-3</v>
      </c>
      <c r="AD61" s="69"/>
      <c r="AE61" s="69"/>
      <c r="AF61" s="69"/>
      <c r="AG61" s="69"/>
      <c r="AH61" s="69"/>
      <c r="AI61" s="69"/>
      <c r="AJ61" s="69"/>
      <c r="AK61" s="69"/>
      <c r="AL61" s="69"/>
      <c r="AM61" s="70"/>
      <c r="AN61" s="126">
        <f>U61*AC61</f>
        <v>0</v>
      </c>
      <c r="AO61" s="127"/>
    </row>
    <row r="62" spans="1:88" s="1" customFormat="1" ht="14.25">
      <c r="A62" s="128" t="s">
        <v>86</v>
      </c>
      <c r="B62" s="129"/>
      <c r="C62" s="129"/>
      <c r="D62" s="129"/>
      <c r="E62" s="129"/>
      <c r="F62" s="129"/>
      <c r="G62" s="129"/>
      <c r="H62" s="129"/>
      <c r="I62" s="129"/>
      <c r="J62" s="129"/>
      <c r="K62" s="129"/>
      <c r="L62" s="129"/>
      <c r="M62" s="129"/>
      <c r="N62" s="129"/>
      <c r="O62" s="129"/>
      <c r="P62" s="130"/>
      <c r="Q62" s="27" t="s">
        <v>14</v>
      </c>
      <c r="R62" s="28"/>
      <c r="S62" s="28"/>
      <c r="T62" s="33"/>
      <c r="U62" s="27"/>
      <c r="V62" s="28"/>
      <c r="W62" s="28"/>
      <c r="X62" s="28"/>
      <c r="Y62" s="28"/>
      <c r="Z62" s="28"/>
      <c r="AA62" s="28"/>
      <c r="AB62" s="28"/>
      <c r="AC62" s="68">
        <v>2.52054</v>
      </c>
      <c r="AD62" s="69"/>
      <c r="AE62" s="69"/>
      <c r="AF62" s="69"/>
      <c r="AG62" s="69"/>
      <c r="AH62" s="69"/>
      <c r="AI62" s="69"/>
      <c r="AJ62" s="69"/>
      <c r="AK62" s="69"/>
      <c r="AL62" s="69"/>
      <c r="AM62" s="70"/>
      <c r="AN62" s="126"/>
      <c r="AO62" s="127"/>
    </row>
    <row r="63" spans="1:88" s="1" customFormat="1" ht="15" thickBot="1">
      <c r="A63" s="142"/>
      <c r="B63" s="143"/>
      <c r="C63" s="143"/>
      <c r="D63" s="143"/>
      <c r="E63" s="143"/>
      <c r="F63" s="143"/>
      <c r="G63" s="143"/>
      <c r="H63" s="143"/>
      <c r="I63" s="143"/>
      <c r="J63" s="143"/>
      <c r="K63" s="143"/>
      <c r="L63" s="143"/>
      <c r="M63" s="143"/>
      <c r="N63" s="143"/>
      <c r="O63" s="143"/>
      <c r="P63" s="144"/>
      <c r="Q63" s="27"/>
      <c r="R63" s="28"/>
      <c r="S63" s="28"/>
      <c r="T63" s="33"/>
      <c r="U63" s="27"/>
      <c r="V63" s="28"/>
      <c r="W63" s="28"/>
      <c r="X63" s="28"/>
      <c r="Y63" s="28"/>
      <c r="Z63" s="28"/>
      <c r="AA63" s="28"/>
      <c r="AB63" s="28"/>
      <c r="AC63" s="27"/>
      <c r="AD63" s="28"/>
      <c r="AE63" s="28"/>
      <c r="AF63" s="28"/>
      <c r="AG63" s="28"/>
      <c r="AH63" s="28"/>
      <c r="AI63" s="28"/>
      <c r="AJ63" s="28"/>
      <c r="AK63" s="28"/>
      <c r="AL63" s="28"/>
      <c r="AM63" s="33"/>
      <c r="AN63" s="126"/>
      <c r="AO63" s="127"/>
    </row>
    <row r="64" spans="1:88" s="1" customFormat="1" ht="15" customHeight="1" thickBot="1">
      <c r="A64" s="50" t="s">
        <v>60</v>
      </c>
      <c r="B64" s="51"/>
      <c r="C64" s="51"/>
      <c r="D64" s="51"/>
      <c r="E64" s="51"/>
      <c r="F64" s="51"/>
      <c r="G64" s="51"/>
      <c r="H64" s="51"/>
      <c r="I64" s="51"/>
      <c r="J64" s="51"/>
      <c r="K64" s="51"/>
      <c r="L64" s="51"/>
      <c r="M64" s="51"/>
      <c r="N64" s="51"/>
      <c r="O64" s="51"/>
      <c r="P64" s="51"/>
      <c r="Q64" s="51"/>
      <c r="R64" s="51"/>
      <c r="S64" s="51"/>
      <c r="T64" s="51"/>
      <c r="U64" s="51"/>
      <c r="V64" s="51"/>
      <c r="W64" s="51"/>
      <c r="X64" s="51"/>
      <c r="Y64" s="51"/>
      <c r="Z64" s="51"/>
      <c r="AA64" s="51"/>
      <c r="AB64" s="51"/>
      <c r="AC64" s="51"/>
      <c r="AD64" s="51"/>
      <c r="AE64" s="52"/>
      <c r="AF64" s="53">
        <f>SUM(AN58:AO63)</f>
        <v>0</v>
      </c>
      <c r="AG64" s="53"/>
      <c r="AH64" s="53"/>
      <c r="AI64" s="53"/>
      <c r="AJ64" s="53"/>
      <c r="AK64" s="53"/>
      <c r="AL64" s="53"/>
      <c r="AM64" s="53"/>
      <c r="AN64" s="53"/>
      <c r="AO64" s="54"/>
    </row>
    <row r="65" spans="1:41" s="1" customFormat="1" ht="15" customHeight="1">
      <c r="A65" s="138" t="s">
        <v>87</v>
      </c>
      <c r="B65" s="139"/>
      <c r="C65" s="139"/>
      <c r="D65" s="139"/>
      <c r="E65" s="139"/>
      <c r="F65" s="139"/>
      <c r="G65" s="139"/>
      <c r="H65" s="139"/>
      <c r="I65" s="139"/>
      <c r="J65" s="139"/>
      <c r="K65" s="139"/>
      <c r="L65" s="139"/>
      <c r="M65" s="139"/>
      <c r="N65" s="139"/>
      <c r="O65" s="139"/>
      <c r="P65" s="139"/>
      <c r="Q65" s="139"/>
      <c r="R65" s="139"/>
      <c r="S65" s="139"/>
      <c r="T65" s="139"/>
      <c r="U65" s="139"/>
      <c r="V65" s="139"/>
      <c r="W65" s="139"/>
      <c r="X65" s="139"/>
      <c r="Y65" s="139"/>
      <c r="Z65" s="139"/>
      <c r="AA65" s="139"/>
      <c r="AB65" s="139"/>
      <c r="AC65" s="139"/>
      <c r="AD65" s="139"/>
      <c r="AE65" s="139"/>
      <c r="AF65" s="139"/>
      <c r="AG65" s="139"/>
      <c r="AH65" s="139"/>
      <c r="AI65" s="139"/>
      <c r="AJ65" s="139"/>
      <c r="AK65" s="139"/>
      <c r="AL65" s="139"/>
      <c r="AM65" s="139"/>
      <c r="AN65" s="139"/>
      <c r="AO65" s="145"/>
    </row>
    <row r="66" spans="1:41" s="1" customFormat="1" ht="15" customHeight="1">
      <c r="A66" s="138" t="s">
        <v>12</v>
      </c>
      <c r="B66" s="139"/>
      <c r="C66" s="139"/>
      <c r="D66" s="139"/>
      <c r="E66" s="139"/>
      <c r="F66" s="139"/>
      <c r="G66" s="139"/>
      <c r="H66" s="139"/>
      <c r="I66" s="139"/>
      <c r="J66" s="139"/>
      <c r="K66" s="139"/>
      <c r="L66" s="139"/>
      <c r="M66" s="139"/>
      <c r="N66" s="139"/>
      <c r="O66" s="139"/>
      <c r="P66" s="140"/>
      <c r="Q66" s="141" t="s">
        <v>88</v>
      </c>
      <c r="R66" s="139"/>
      <c r="S66" s="139"/>
      <c r="T66" s="139"/>
      <c r="U66" s="139"/>
      <c r="V66" s="139"/>
      <c r="W66" s="139"/>
      <c r="X66" s="139"/>
      <c r="Y66" s="139"/>
      <c r="Z66" s="139"/>
      <c r="AA66" s="139"/>
      <c r="AB66" s="139"/>
      <c r="AC66" s="139"/>
      <c r="AD66" s="139"/>
      <c r="AE66" s="139"/>
      <c r="AF66" s="139"/>
      <c r="AG66" s="139"/>
      <c r="AH66" s="139"/>
      <c r="AI66" s="139"/>
      <c r="AJ66" s="139"/>
      <c r="AK66" s="139"/>
      <c r="AL66" s="139"/>
      <c r="AM66" s="140"/>
      <c r="AN66" s="136" t="s">
        <v>89</v>
      </c>
      <c r="AO66" s="137"/>
    </row>
    <row r="67" spans="1:41" s="1" customFormat="1" ht="14.25">
      <c r="A67" s="128"/>
      <c r="B67" s="129"/>
      <c r="C67" s="129"/>
      <c r="D67" s="129"/>
      <c r="E67" s="129"/>
      <c r="F67" s="129"/>
      <c r="G67" s="129"/>
      <c r="H67" s="129"/>
      <c r="I67" s="129"/>
      <c r="J67" s="129"/>
      <c r="K67" s="129"/>
      <c r="L67" s="129"/>
      <c r="M67" s="129"/>
      <c r="N67" s="129"/>
      <c r="O67" s="129"/>
      <c r="P67" s="130"/>
      <c r="Q67" s="183"/>
      <c r="R67" s="184"/>
      <c r="S67" s="184"/>
      <c r="T67" s="184"/>
      <c r="U67" s="184"/>
      <c r="V67" s="184"/>
      <c r="W67" s="184"/>
      <c r="X67" s="184"/>
      <c r="Y67" s="184"/>
      <c r="Z67" s="184"/>
      <c r="AA67" s="184"/>
      <c r="AB67" s="184"/>
      <c r="AC67" s="184"/>
      <c r="AD67" s="184"/>
      <c r="AE67" s="184"/>
      <c r="AF67" s="184"/>
      <c r="AG67" s="184"/>
      <c r="AH67" s="184"/>
      <c r="AI67" s="184"/>
      <c r="AJ67" s="184"/>
      <c r="AK67" s="184"/>
      <c r="AL67" s="184"/>
      <c r="AM67" s="185"/>
      <c r="AN67" s="146"/>
      <c r="AO67" s="147"/>
    </row>
    <row r="68" spans="1:41" s="1" customFormat="1" ht="14.25">
      <c r="A68" s="128"/>
      <c r="B68" s="129"/>
      <c r="C68" s="129"/>
      <c r="D68" s="129"/>
      <c r="E68" s="129"/>
      <c r="F68" s="129"/>
      <c r="G68" s="129"/>
      <c r="H68" s="129"/>
      <c r="I68" s="129"/>
      <c r="J68" s="129"/>
      <c r="K68" s="129"/>
      <c r="L68" s="129"/>
      <c r="M68" s="129"/>
      <c r="N68" s="129"/>
      <c r="O68" s="129"/>
      <c r="P68" s="130"/>
      <c r="Q68" s="27"/>
      <c r="R68" s="28"/>
      <c r="S68" s="28"/>
      <c r="T68" s="28"/>
      <c r="U68" s="28"/>
      <c r="V68" s="28"/>
      <c r="W68" s="28"/>
      <c r="X68" s="28"/>
      <c r="Y68" s="28"/>
      <c r="Z68" s="28"/>
      <c r="AA68" s="28"/>
      <c r="AB68" s="28"/>
      <c r="AC68" s="28"/>
      <c r="AD68" s="28"/>
      <c r="AE68" s="28"/>
      <c r="AF68" s="28"/>
      <c r="AG68" s="28"/>
      <c r="AH68" s="28"/>
      <c r="AI68" s="28"/>
      <c r="AJ68" s="28"/>
      <c r="AK68" s="28"/>
      <c r="AL68" s="28"/>
      <c r="AM68" s="33"/>
      <c r="AN68" s="146"/>
      <c r="AO68" s="147"/>
    </row>
    <row r="69" spans="1:41" s="1" customFormat="1" ht="14.25">
      <c r="A69" s="128"/>
      <c r="B69" s="129"/>
      <c r="C69" s="129"/>
      <c r="D69" s="129"/>
      <c r="E69" s="129"/>
      <c r="F69" s="129"/>
      <c r="G69" s="129"/>
      <c r="H69" s="129"/>
      <c r="I69" s="129"/>
      <c r="J69" s="129"/>
      <c r="K69" s="129"/>
      <c r="L69" s="129"/>
      <c r="M69" s="129"/>
      <c r="N69" s="129"/>
      <c r="O69" s="129"/>
      <c r="P69" s="130"/>
      <c r="Q69" s="27"/>
      <c r="R69" s="28"/>
      <c r="S69" s="28"/>
      <c r="T69" s="28"/>
      <c r="U69" s="28"/>
      <c r="V69" s="28"/>
      <c r="W69" s="28"/>
      <c r="X69" s="28"/>
      <c r="Y69" s="28"/>
      <c r="Z69" s="28"/>
      <c r="AA69" s="28"/>
      <c r="AB69" s="28"/>
      <c r="AC69" s="28"/>
      <c r="AD69" s="28"/>
      <c r="AE69" s="28"/>
      <c r="AF69" s="28"/>
      <c r="AG69" s="28"/>
      <c r="AH69" s="28"/>
      <c r="AI69" s="28"/>
      <c r="AJ69" s="28"/>
      <c r="AK69" s="28"/>
      <c r="AL69" s="28"/>
      <c r="AM69" s="33"/>
      <c r="AN69" s="146"/>
      <c r="AO69" s="147"/>
    </row>
    <row r="70" spans="1:41" s="1" customFormat="1" ht="14.25">
      <c r="A70" s="128"/>
      <c r="B70" s="129"/>
      <c r="C70" s="129"/>
      <c r="D70" s="129"/>
      <c r="E70" s="129"/>
      <c r="F70" s="129"/>
      <c r="G70" s="129"/>
      <c r="H70" s="129"/>
      <c r="I70" s="129"/>
      <c r="J70" s="129"/>
      <c r="K70" s="129"/>
      <c r="L70" s="129"/>
      <c r="M70" s="129"/>
      <c r="N70" s="129"/>
      <c r="O70" s="129"/>
      <c r="P70" s="130"/>
      <c r="Q70" s="27"/>
      <c r="R70" s="28"/>
      <c r="S70" s="28"/>
      <c r="T70" s="28"/>
      <c r="U70" s="28"/>
      <c r="V70" s="28"/>
      <c r="W70" s="28"/>
      <c r="X70" s="28"/>
      <c r="Y70" s="28"/>
      <c r="Z70" s="28"/>
      <c r="AA70" s="28"/>
      <c r="AB70" s="28"/>
      <c r="AC70" s="28"/>
      <c r="AD70" s="28"/>
      <c r="AE70" s="28"/>
      <c r="AF70" s="28"/>
      <c r="AG70" s="28"/>
      <c r="AH70" s="28"/>
      <c r="AI70" s="28"/>
      <c r="AJ70" s="28"/>
      <c r="AK70" s="28"/>
      <c r="AL70" s="28"/>
      <c r="AM70" s="33"/>
      <c r="AN70" s="146"/>
      <c r="AO70" s="147"/>
    </row>
    <row r="71" spans="1:41" s="1" customFormat="1" ht="15" thickBot="1">
      <c r="A71" s="128"/>
      <c r="B71" s="129"/>
      <c r="C71" s="129"/>
      <c r="D71" s="129"/>
      <c r="E71" s="129"/>
      <c r="F71" s="129"/>
      <c r="G71" s="129"/>
      <c r="H71" s="129"/>
      <c r="I71" s="129"/>
      <c r="J71" s="129"/>
      <c r="K71" s="129"/>
      <c r="L71" s="129"/>
      <c r="M71" s="129"/>
      <c r="N71" s="129"/>
      <c r="O71" s="129"/>
      <c r="P71" s="130"/>
      <c r="Q71" s="27"/>
      <c r="R71" s="28"/>
      <c r="S71" s="28"/>
      <c r="T71" s="28"/>
      <c r="U71" s="28"/>
      <c r="V71" s="28"/>
      <c r="W71" s="28"/>
      <c r="X71" s="28"/>
      <c r="Y71" s="28"/>
      <c r="Z71" s="28"/>
      <c r="AA71" s="28"/>
      <c r="AB71" s="28"/>
      <c r="AC71" s="28"/>
      <c r="AD71" s="28"/>
      <c r="AE71" s="28"/>
      <c r="AF71" s="28"/>
      <c r="AG71" s="28"/>
      <c r="AH71" s="28"/>
      <c r="AI71" s="28"/>
      <c r="AJ71" s="28"/>
      <c r="AK71" s="28"/>
      <c r="AL71" s="28"/>
      <c r="AM71" s="33"/>
      <c r="AN71" s="146"/>
      <c r="AO71" s="147"/>
    </row>
    <row r="72" spans="1:41" s="1" customFormat="1" ht="15" customHeight="1" thickBot="1">
      <c r="A72" s="50" t="s">
        <v>60</v>
      </c>
      <c r="B72" s="51"/>
      <c r="C72" s="51"/>
      <c r="D72" s="51"/>
      <c r="E72" s="51"/>
      <c r="F72" s="51"/>
      <c r="G72" s="51"/>
      <c r="H72" s="51"/>
      <c r="I72" s="51"/>
      <c r="J72" s="51"/>
      <c r="K72" s="51"/>
      <c r="L72" s="51"/>
      <c r="M72" s="51"/>
      <c r="N72" s="51"/>
      <c r="O72" s="51"/>
      <c r="P72" s="51"/>
      <c r="Q72" s="51"/>
      <c r="R72" s="51"/>
      <c r="S72" s="51"/>
      <c r="T72" s="51"/>
      <c r="U72" s="51"/>
      <c r="V72" s="51"/>
      <c r="W72" s="51"/>
      <c r="X72" s="51"/>
      <c r="Y72" s="51"/>
      <c r="Z72" s="51"/>
      <c r="AA72" s="51"/>
      <c r="AB72" s="51"/>
      <c r="AC72" s="51"/>
      <c r="AD72" s="51"/>
      <c r="AE72" s="175"/>
      <c r="AF72" s="176">
        <f>SUM(Q67:AM71)</f>
        <v>0</v>
      </c>
      <c r="AG72" s="108"/>
      <c r="AH72" s="108"/>
      <c r="AI72" s="108"/>
      <c r="AJ72" s="108"/>
      <c r="AK72" s="108"/>
      <c r="AL72" s="108"/>
      <c r="AM72" s="108"/>
      <c r="AN72" s="108"/>
      <c r="AO72" s="109"/>
    </row>
    <row r="73" spans="1:41" s="1" customFormat="1" ht="15" customHeight="1">
      <c r="A73" s="14" t="s">
        <v>90</v>
      </c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139" t="s">
        <v>91</v>
      </c>
      <c r="R73" s="139"/>
      <c r="S73" s="139"/>
      <c r="T73" s="139"/>
      <c r="U73" s="139"/>
      <c r="V73" s="139"/>
      <c r="W73" s="139"/>
      <c r="X73" s="139"/>
      <c r="Y73" s="139"/>
      <c r="Z73" s="139"/>
      <c r="AA73" s="139"/>
      <c r="AB73" s="139"/>
      <c r="AC73" s="139"/>
      <c r="AD73" s="139"/>
      <c r="AE73" s="139"/>
      <c r="AF73" s="139" t="s">
        <v>92</v>
      </c>
      <c r="AG73" s="139"/>
      <c r="AH73" s="139"/>
      <c r="AI73" s="139"/>
      <c r="AJ73" s="139"/>
      <c r="AK73" s="139"/>
      <c r="AL73" s="139"/>
      <c r="AM73" s="139"/>
      <c r="AN73" s="139"/>
      <c r="AO73" s="145"/>
    </row>
    <row r="74" spans="1:41" s="1" customFormat="1" ht="15" customHeight="1">
      <c r="A74" s="138" t="s">
        <v>93</v>
      </c>
      <c r="B74" s="139"/>
      <c r="C74" s="139"/>
      <c r="D74" s="139"/>
      <c r="E74" s="139"/>
      <c r="F74" s="139"/>
      <c r="G74" s="139"/>
      <c r="H74" s="139"/>
      <c r="I74" s="139"/>
      <c r="J74" s="139"/>
      <c r="K74" s="139"/>
      <c r="L74" s="139"/>
      <c r="M74" s="139"/>
      <c r="N74" s="139"/>
      <c r="O74" s="139"/>
      <c r="P74" s="139"/>
      <c r="Q74" s="93">
        <f>SUM(AF45+AF55)</f>
        <v>0</v>
      </c>
      <c r="R74" s="166"/>
      <c r="S74" s="166"/>
      <c r="T74" s="166"/>
      <c r="U74" s="166"/>
      <c r="V74" s="166"/>
      <c r="W74" s="166"/>
      <c r="X74" s="166"/>
      <c r="Y74" s="166"/>
      <c r="Z74" s="166"/>
      <c r="AA74" s="166"/>
      <c r="AB74" s="166"/>
      <c r="AC74" s="166"/>
      <c r="AD74" s="166"/>
      <c r="AE74" s="167"/>
      <c r="AF74" s="168">
        <f>Q74*19093</f>
        <v>0</v>
      </c>
      <c r="AG74" s="168"/>
      <c r="AH74" s="168"/>
      <c r="AI74" s="168"/>
      <c r="AJ74" s="168"/>
      <c r="AK74" s="168"/>
      <c r="AL74" s="168"/>
      <c r="AM74" s="168"/>
      <c r="AN74" s="168"/>
      <c r="AO74" s="169"/>
    </row>
    <row r="75" spans="1:41" ht="15.95" customHeight="1">
      <c r="A75" s="138" t="s">
        <v>94</v>
      </c>
      <c r="B75" s="139"/>
      <c r="C75" s="139"/>
      <c r="D75" s="139"/>
      <c r="E75" s="139"/>
      <c r="F75" s="139"/>
      <c r="G75" s="139"/>
      <c r="H75" s="139"/>
      <c r="I75" s="139"/>
      <c r="J75" s="139"/>
      <c r="K75" s="139"/>
      <c r="L75" s="139"/>
      <c r="M75" s="139"/>
      <c r="N75" s="139"/>
      <c r="O75" s="139"/>
      <c r="P75" s="139"/>
      <c r="Q75" s="170">
        <f>IF(AF64="","",AF64)</f>
        <v>0</v>
      </c>
      <c r="R75" s="166"/>
      <c r="S75" s="166"/>
      <c r="T75" s="166"/>
      <c r="U75" s="166"/>
      <c r="V75" s="166"/>
      <c r="W75" s="166"/>
      <c r="X75" s="166"/>
      <c r="Y75" s="166"/>
      <c r="Z75" s="166"/>
      <c r="AA75" s="166"/>
      <c r="AB75" s="166"/>
      <c r="AC75" s="166"/>
      <c r="AD75" s="166"/>
      <c r="AE75" s="167"/>
      <c r="AF75" s="168">
        <f>Q75*46071</f>
        <v>0</v>
      </c>
      <c r="AG75" s="168"/>
      <c r="AH75" s="168"/>
      <c r="AI75" s="168"/>
      <c r="AJ75" s="168"/>
      <c r="AK75" s="168"/>
      <c r="AL75" s="168"/>
      <c r="AM75" s="168"/>
      <c r="AN75" s="168"/>
      <c r="AO75" s="169"/>
    </row>
    <row r="76" spans="1:41" ht="15.95" customHeight="1" thickBot="1">
      <c r="A76" s="171" t="s">
        <v>95</v>
      </c>
      <c r="B76" s="172"/>
      <c r="C76" s="172"/>
      <c r="D76" s="172"/>
      <c r="E76" s="172"/>
      <c r="F76" s="172"/>
      <c r="G76" s="172"/>
      <c r="H76" s="172"/>
      <c r="I76" s="172"/>
      <c r="J76" s="172"/>
      <c r="K76" s="172"/>
      <c r="L76" s="172"/>
      <c r="M76" s="172"/>
      <c r="N76" s="172"/>
      <c r="O76" s="172"/>
      <c r="P76" s="172"/>
      <c r="Q76" s="173"/>
      <c r="R76" s="173"/>
      <c r="S76" s="173"/>
      <c r="T76" s="173"/>
      <c r="U76" s="173"/>
      <c r="V76" s="173"/>
      <c r="W76" s="173"/>
      <c r="X76" s="173"/>
      <c r="Y76" s="173"/>
      <c r="Z76" s="173"/>
      <c r="AA76" s="173"/>
      <c r="AB76" s="173"/>
      <c r="AC76" s="173"/>
      <c r="AD76" s="173"/>
      <c r="AE76" s="173"/>
      <c r="AF76" s="173">
        <f>Q76</f>
        <v>0</v>
      </c>
      <c r="AG76" s="173"/>
      <c r="AH76" s="173"/>
      <c r="AI76" s="173"/>
      <c r="AJ76" s="173"/>
      <c r="AK76" s="173"/>
      <c r="AL76" s="173"/>
      <c r="AM76" s="173"/>
      <c r="AN76" s="173"/>
      <c r="AO76" s="174"/>
    </row>
    <row r="77" spans="1:41" ht="24" customHeight="1" thickBot="1">
      <c r="A77" s="177" t="s">
        <v>60</v>
      </c>
      <c r="B77" s="178"/>
      <c r="C77" s="178"/>
      <c r="D77" s="178"/>
      <c r="E77" s="178"/>
      <c r="F77" s="178"/>
      <c r="G77" s="178"/>
      <c r="H77" s="178"/>
      <c r="I77" s="178"/>
      <c r="J77" s="178"/>
      <c r="K77" s="178"/>
      <c r="L77" s="178"/>
      <c r="M77" s="178"/>
      <c r="N77" s="178"/>
      <c r="O77" s="178"/>
      <c r="P77" s="178"/>
      <c r="Q77" s="178"/>
      <c r="R77" s="178"/>
      <c r="S77" s="178"/>
      <c r="T77" s="178"/>
      <c r="U77" s="178"/>
      <c r="V77" s="178"/>
      <c r="W77" s="178"/>
      <c r="X77" s="178"/>
      <c r="Y77" s="178"/>
      <c r="Z77" s="178"/>
      <c r="AA77" s="178"/>
      <c r="AB77" s="178"/>
      <c r="AC77" s="178"/>
      <c r="AD77" s="178"/>
      <c r="AE77" s="179"/>
      <c r="AF77" s="180">
        <f>SUM(AF74:AO76)</f>
        <v>0</v>
      </c>
      <c r="AG77" s="181"/>
      <c r="AH77" s="181"/>
      <c r="AI77" s="181"/>
      <c r="AJ77" s="181"/>
      <c r="AK77" s="181"/>
      <c r="AL77" s="181"/>
      <c r="AM77" s="181"/>
      <c r="AN77" s="181"/>
      <c r="AO77" s="182"/>
    </row>
    <row r="78" spans="1:41" ht="15.95" customHeight="1" thickBot="1">
      <c r="A78" s="154" t="s">
        <v>96</v>
      </c>
      <c r="B78" s="155"/>
      <c r="C78" s="155"/>
      <c r="D78" s="155"/>
      <c r="E78" s="155"/>
      <c r="F78" s="155"/>
      <c r="G78" s="155"/>
      <c r="H78" s="155"/>
      <c r="I78" s="155"/>
      <c r="J78" s="155"/>
      <c r="K78" s="155"/>
      <c r="L78" s="155"/>
      <c r="M78" s="155"/>
      <c r="N78" s="155"/>
      <c r="O78" s="155"/>
      <c r="P78" s="155"/>
      <c r="Q78" s="155"/>
      <c r="R78" s="155"/>
      <c r="S78" s="155"/>
      <c r="T78" s="155"/>
      <c r="U78" s="155"/>
      <c r="V78" s="155"/>
      <c r="W78" s="155"/>
      <c r="X78" s="155"/>
      <c r="Y78" s="155"/>
      <c r="Z78" s="155"/>
      <c r="AA78" s="155"/>
      <c r="AB78" s="155"/>
      <c r="AC78" s="155"/>
      <c r="AD78" s="155"/>
      <c r="AE78" s="155"/>
      <c r="AF78" s="155"/>
      <c r="AG78" s="155"/>
      <c r="AH78" s="155"/>
      <c r="AI78" s="155"/>
      <c r="AJ78" s="155"/>
      <c r="AK78" s="155"/>
      <c r="AL78" s="155"/>
      <c r="AM78" s="155"/>
      <c r="AN78" s="155"/>
      <c r="AO78" s="156"/>
    </row>
    <row r="79" spans="1:41" ht="17.100000000000001" customHeight="1">
      <c r="A79" s="157" t="s">
        <v>97</v>
      </c>
      <c r="B79" s="158"/>
      <c r="C79" s="158"/>
      <c r="D79" s="158"/>
      <c r="E79" s="158"/>
      <c r="F79" s="158"/>
      <c r="G79" s="158"/>
      <c r="H79" s="158"/>
      <c r="I79" s="158"/>
      <c r="J79" s="158"/>
      <c r="K79" s="158"/>
      <c r="L79" s="158"/>
      <c r="M79" s="158"/>
      <c r="N79" s="158"/>
      <c r="O79" s="158"/>
      <c r="P79" s="158"/>
      <c r="Q79" s="158"/>
      <c r="R79" s="158"/>
      <c r="S79" s="158"/>
      <c r="T79" s="158"/>
      <c r="U79" s="158"/>
      <c r="V79" s="158"/>
      <c r="W79" s="158"/>
      <c r="X79" s="158"/>
      <c r="Y79" s="158"/>
      <c r="Z79" s="158"/>
      <c r="AA79" s="158"/>
      <c r="AB79" s="158"/>
      <c r="AC79" s="158"/>
      <c r="AD79" s="158"/>
      <c r="AE79" s="158"/>
      <c r="AF79" s="158"/>
      <c r="AG79" s="158"/>
      <c r="AH79" s="158"/>
      <c r="AI79" s="158"/>
      <c r="AJ79" s="158"/>
      <c r="AK79" s="158"/>
      <c r="AL79" s="158"/>
      <c r="AM79" s="158"/>
      <c r="AN79" s="158"/>
      <c r="AO79" s="159"/>
    </row>
    <row r="80" spans="1:41" ht="16.5" customHeight="1" thickBot="1">
      <c r="A80" s="160"/>
      <c r="B80" s="161"/>
      <c r="C80" s="161"/>
      <c r="D80" s="161"/>
      <c r="E80" s="161"/>
      <c r="F80" s="161"/>
      <c r="G80" s="161"/>
      <c r="H80" s="161"/>
      <c r="I80" s="161"/>
      <c r="J80" s="161"/>
      <c r="K80" s="161"/>
      <c r="L80" s="161"/>
      <c r="M80" s="161"/>
      <c r="N80" s="161"/>
      <c r="O80" s="161"/>
      <c r="P80" s="161"/>
      <c r="Q80" s="161"/>
      <c r="R80" s="161"/>
      <c r="S80" s="161"/>
      <c r="T80" s="161"/>
      <c r="U80" s="161"/>
      <c r="V80" s="161"/>
      <c r="W80" s="161"/>
      <c r="X80" s="161"/>
      <c r="Y80" s="161"/>
      <c r="Z80" s="161"/>
      <c r="AA80" s="161"/>
      <c r="AB80" s="161"/>
      <c r="AC80" s="161"/>
      <c r="AD80" s="161"/>
      <c r="AE80" s="161"/>
      <c r="AF80" s="161"/>
      <c r="AG80" s="161"/>
      <c r="AH80" s="161"/>
      <c r="AI80" s="161"/>
      <c r="AJ80" s="161"/>
      <c r="AK80" s="161"/>
      <c r="AL80" s="161"/>
      <c r="AM80" s="161"/>
      <c r="AN80" s="161"/>
      <c r="AO80" s="162"/>
    </row>
    <row r="81" spans="1:41" ht="16.5" customHeight="1" thickBot="1">
      <c r="A81" s="163" t="s">
        <v>98</v>
      </c>
      <c r="B81" s="164"/>
      <c r="C81" s="164"/>
      <c r="D81" s="164"/>
      <c r="E81" s="164"/>
      <c r="F81" s="164"/>
      <c r="G81" s="164"/>
      <c r="H81" s="164"/>
      <c r="I81" s="164"/>
      <c r="J81" s="164"/>
      <c r="K81" s="164"/>
      <c r="L81" s="164"/>
      <c r="M81" s="164"/>
      <c r="N81" s="164"/>
      <c r="O81" s="164"/>
      <c r="P81" s="164"/>
      <c r="Q81" s="164"/>
      <c r="R81" s="164"/>
      <c r="S81" s="164"/>
      <c r="T81" s="164"/>
      <c r="U81" s="164"/>
      <c r="V81" s="164"/>
      <c r="W81" s="164"/>
      <c r="X81" s="164"/>
      <c r="Y81" s="164"/>
      <c r="Z81" s="164"/>
      <c r="AA81" s="164"/>
      <c r="AB81" s="164"/>
      <c r="AC81" s="164"/>
      <c r="AD81" s="164"/>
      <c r="AE81" s="164"/>
      <c r="AF81" s="164"/>
      <c r="AG81" s="164"/>
      <c r="AH81" s="164"/>
      <c r="AI81" s="164"/>
      <c r="AJ81" s="164"/>
      <c r="AK81" s="164"/>
      <c r="AL81" s="164"/>
      <c r="AM81" s="164"/>
      <c r="AN81" s="164"/>
      <c r="AO81" s="165"/>
    </row>
    <row r="82" spans="1:41" ht="27.75" customHeight="1">
      <c r="A82" s="148" t="s">
        <v>99</v>
      </c>
      <c r="B82" s="149"/>
      <c r="C82" s="149"/>
      <c r="D82" s="149"/>
      <c r="E82" s="149"/>
      <c r="F82" s="149"/>
      <c r="G82" s="149"/>
      <c r="H82" s="149"/>
      <c r="I82" s="149"/>
      <c r="J82" s="149"/>
      <c r="K82" s="149"/>
      <c r="L82" s="149"/>
      <c r="M82" s="149"/>
      <c r="N82" s="149"/>
      <c r="O82" s="149"/>
      <c r="P82" s="149"/>
      <c r="Q82" s="149"/>
      <c r="R82" s="149"/>
      <c r="S82" s="149"/>
      <c r="T82" s="149"/>
      <c r="U82" s="149"/>
      <c r="V82" s="149"/>
      <c r="W82" s="149"/>
      <c r="X82" s="149"/>
      <c r="Y82" s="149"/>
      <c r="Z82" s="149"/>
      <c r="AA82" s="149"/>
      <c r="AB82" s="149"/>
      <c r="AC82" s="149"/>
      <c r="AD82" s="149"/>
      <c r="AE82" s="149"/>
      <c r="AF82" s="149"/>
      <c r="AG82" s="149"/>
      <c r="AH82" s="149"/>
      <c r="AI82" s="149"/>
      <c r="AJ82" s="149"/>
      <c r="AK82" s="149"/>
      <c r="AL82" s="149"/>
      <c r="AM82" s="149"/>
      <c r="AN82" s="149"/>
      <c r="AO82" s="150"/>
    </row>
    <row r="83" spans="1:41" ht="15.95" customHeight="1" thickBot="1">
      <c r="A83" s="151" t="s">
        <v>100</v>
      </c>
      <c r="B83" s="152"/>
      <c r="C83" s="152"/>
      <c r="D83" s="152"/>
      <c r="E83" s="152"/>
      <c r="F83" s="152"/>
      <c r="G83" s="152"/>
      <c r="H83" s="152"/>
      <c r="I83" s="152"/>
      <c r="J83" s="152"/>
      <c r="K83" s="152"/>
      <c r="L83" s="152"/>
      <c r="M83" s="152"/>
      <c r="N83" s="152"/>
      <c r="O83" s="152"/>
      <c r="P83" s="152"/>
      <c r="Q83" s="152"/>
      <c r="R83" s="152"/>
      <c r="S83" s="152"/>
      <c r="T83" s="152"/>
      <c r="U83" s="152"/>
      <c r="V83" s="152"/>
      <c r="W83" s="152"/>
      <c r="X83" s="152"/>
      <c r="Y83" s="152"/>
      <c r="Z83" s="152"/>
      <c r="AA83" s="152"/>
      <c r="AB83" s="152"/>
      <c r="AC83" s="152"/>
      <c r="AD83" s="152"/>
      <c r="AE83" s="152"/>
      <c r="AF83" s="152"/>
      <c r="AG83" s="152"/>
      <c r="AH83" s="152"/>
      <c r="AI83" s="152"/>
      <c r="AJ83" s="152"/>
      <c r="AK83" s="152"/>
      <c r="AL83" s="152"/>
      <c r="AM83" s="152"/>
      <c r="AN83" s="152"/>
      <c r="AO83" s="153"/>
    </row>
  </sheetData>
  <mergeCells count="319">
    <mergeCell ref="T36:W36"/>
    <mergeCell ref="T37:W37"/>
    <mergeCell ref="T38:W38"/>
    <mergeCell ref="T39:W39"/>
    <mergeCell ref="T40:W40"/>
    <mergeCell ref="T41:W41"/>
    <mergeCell ref="T42:W42"/>
    <mergeCell ref="T43:W43"/>
    <mergeCell ref="T44:W44"/>
    <mergeCell ref="T27:W27"/>
    <mergeCell ref="T28:W28"/>
    <mergeCell ref="T29:W29"/>
    <mergeCell ref="T30:W30"/>
    <mergeCell ref="T31:W31"/>
    <mergeCell ref="T32:W32"/>
    <mergeCell ref="T33:W33"/>
    <mergeCell ref="T34:W34"/>
    <mergeCell ref="T35:W35"/>
    <mergeCell ref="T9:W9"/>
    <mergeCell ref="T10:W10"/>
    <mergeCell ref="T11:W11"/>
    <mergeCell ref="T12:W12"/>
    <mergeCell ref="T13:W13"/>
    <mergeCell ref="T14:W14"/>
    <mergeCell ref="T15:W15"/>
    <mergeCell ref="T16:W16"/>
    <mergeCell ref="T17:W17"/>
    <mergeCell ref="AN69:AO69"/>
    <mergeCell ref="AN70:AO70"/>
    <mergeCell ref="A69:P69"/>
    <mergeCell ref="A70:P70"/>
    <mergeCell ref="Q69:AM69"/>
    <mergeCell ref="Q70:AM70"/>
    <mergeCell ref="AN67:AO67"/>
    <mergeCell ref="AN68:AO68"/>
    <mergeCell ref="A67:P67"/>
    <mergeCell ref="A68:P68"/>
    <mergeCell ref="Q67:AM67"/>
    <mergeCell ref="Q68:AM68"/>
    <mergeCell ref="Q73:AE73"/>
    <mergeCell ref="AF73:AO73"/>
    <mergeCell ref="AN71:AO71"/>
    <mergeCell ref="A71:P71"/>
    <mergeCell ref="A82:AO82"/>
    <mergeCell ref="A83:AO83"/>
    <mergeCell ref="A78:AO78"/>
    <mergeCell ref="A79:AO79"/>
    <mergeCell ref="A80:AO80"/>
    <mergeCell ref="A81:AO81"/>
    <mergeCell ref="A74:P74"/>
    <mergeCell ref="A75:P75"/>
    <mergeCell ref="Q74:AE74"/>
    <mergeCell ref="AF74:AO74"/>
    <mergeCell ref="Q75:AE75"/>
    <mergeCell ref="AF75:AO75"/>
    <mergeCell ref="A76:P76"/>
    <mergeCell ref="Q76:AE76"/>
    <mergeCell ref="AF76:AO76"/>
    <mergeCell ref="A72:AE72"/>
    <mergeCell ref="AF72:AO72"/>
    <mergeCell ref="Q71:AM71"/>
    <mergeCell ref="A77:AE77"/>
    <mergeCell ref="AF77:AO77"/>
    <mergeCell ref="AN62:AO62"/>
    <mergeCell ref="A61:P61"/>
    <mergeCell ref="A62:P62"/>
    <mergeCell ref="AN59:AO59"/>
    <mergeCell ref="AN60:AO60"/>
    <mergeCell ref="A59:P59"/>
    <mergeCell ref="A60:P60"/>
    <mergeCell ref="AN66:AO66"/>
    <mergeCell ref="A66:P66"/>
    <mergeCell ref="Q66:AM66"/>
    <mergeCell ref="AN63:AO63"/>
    <mergeCell ref="A63:P63"/>
    <mergeCell ref="A65:AO65"/>
    <mergeCell ref="AN57:AO57"/>
    <mergeCell ref="AN58:AO58"/>
    <mergeCell ref="A57:P57"/>
    <mergeCell ref="A58:P58"/>
    <mergeCell ref="A56:AO56"/>
    <mergeCell ref="Q54:W54"/>
    <mergeCell ref="X54:AE54"/>
    <mergeCell ref="AC58:AM58"/>
    <mergeCell ref="AN61:AO61"/>
    <mergeCell ref="U59:AB59"/>
    <mergeCell ref="U60:AB60"/>
    <mergeCell ref="A54:P54"/>
    <mergeCell ref="A7:AO7"/>
    <mergeCell ref="L8:P8"/>
    <mergeCell ref="A8:K8"/>
    <mergeCell ref="Q53:W53"/>
    <mergeCell ref="X53:AE53"/>
    <mergeCell ref="AF54:AO54"/>
    <mergeCell ref="AF55:AO55"/>
    <mergeCell ref="A2:J2"/>
    <mergeCell ref="K2:P2"/>
    <mergeCell ref="Q2:Y2"/>
    <mergeCell ref="Z2:AM2"/>
    <mergeCell ref="A5:J5"/>
    <mergeCell ref="A3:J3"/>
    <mergeCell ref="K3:AO3"/>
    <mergeCell ref="A4:J4"/>
    <mergeCell ref="AF9:AO9"/>
    <mergeCell ref="AF8:AO8"/>
    <mergeCell ref="AF45:AO45"/>
    <mergeCell ref="Q6:AO6"/>
    <mergeCell ref="AF48:AO48"/>
    <mergeCell ref="AF49:AO49"/>
    <mergeCell ref="AF50:AO50"/>
    <mergeCell ref="AF51:AO51"/>
    <mergeCell ref="AF52:AO52"/>
    <mergeCell ref="AF53:AO53"/>
    <mergeCell ref="Q50:W50"/>
    <mergeCell ref="X50:AE50"/>
    <mergeCell ref="Q52:W52"/>
    <mergeCell ref="X52:AE52"/>
    <mergeCell ref="Q51:W51"/>
    <mergeCell ref="X51:AE51"/>
    <mergeCell ref="Q49:W49"/>
    <mergeCell ref="X49:AE49"/>
    <mergeCell ref="Q48:W48"/>
    <mergeCell ref="X48:AE48"/>
    <mergeCell ref="Q8:S8"/>
    <mergeCell ref="T8:W8"/>
    <mergeCell ref="A45:AE45"/>
    <mergeCell ref="L16:P16"/>
    <mergeCell ref="L17:P17"/>
    <mergeCell ref="Q27:S27"/>
    <mergeCell ref="Q28:S28"/>
    <mergeCell ref="Q29:S29"/>
    <mergeCell ref="Q30:S30"/>
    <mergeCell ref="L40:P40"/>
    <mergeCell ref="L41:P41"/>
    <mergeCell ref="L42:P42"/>
    <mergeCell ref="L43:P43"/>
    <mergeCell ref="L44:P44"/>
    <mergeCell ref="L31:P31"/>
    <mergeCell ref="L32:P32"/>
    <mergeCell ref="L33:P33"/>
    <mergeCell ref="L36:P36"/>
    <mergeCell ref="L37:P37"/>
    <mergeCell ref="L38:P38"/>
    <mergeCell ref="L39:P39"/>
    <mergeCell ref="L27:P27"/>
    <mergeCell ref="AF47:AO47"/>
    <mergeCell ref="X9:AE9"/>
    <mergeCell ref="Q47:W47"/>
    <mergeCell ref="X47:AE47"/>
    <mergeCell ref="A46:AO46"/>
    <mergeCell ref="X8:AE8"/>
    <mergeCell ref="L18:P18"/>
    <mergeCell ref="L19:P19"/>
    <mergeCell ref="L20:P20"/>
    <mergeCell ref="L21:P21"/>
    <mergeCell ref="L22:P22"/>
    <mergeCell ref="L23:P23"/>
    <mergeCell ref="L24:P24"/>
    <mergeCell ref="L25:P25"/>
    <mergeCell ref="L26:P26"/>
    <mergeCell ref="L9:P9"/>
    <mergeCell ref="L10:P10"/>
    <mergeCell ref="L11:P11"/>
    <mergeCell ref="L12:P12"/>
    <mergeCell ref="L13:P13"/>
    <mergeCell ref="L14:P14"/>
    <mergeCell ref="L15:P15"/>
    <mergeCell ref="L34:P34"/>
    <mergeCell ref="L35:P35"/>
    <mergeCell ref="L28:P28"/>
    <mergeCell ref="L29:P29"/>
    <mergeCell ref="L30:P30"/>
    <mergeCell ref="Q18:S18"/>
    <mergeCell ref="Q19:S19"/>
    <mergeCell ref="Q20:S20"/>
    <mergeCell ref="Q21:S21"/>
    <mergeCell ref="Q22:S22"/>
    <mergeCell ref="Q23:S23"/>
    <mergeCell ref="Q24:S24"/>
    <mergeCell ref="Q25:S25"/>
    <mergeCell ref="Q26:S26"/>
    <mergeCell ref="Q9:S9"/>
    <mergeCell ref="Q10:S10"/>
    <mergeCell ref="Q11:S11"/>
    <mergeCell ref="Q12:S12"/>
    <mergeCell ref="Q13:S13"/>
    <mergeCell ref="Q14:S14"/>
    <mergeCell ref="Q15:S15"/>
    <mergeCell ref="Q16:S16"/>
    <mergeCell ref="Q17:S17"/>
    <mergeCell ref="Q40:S40"/>
    <mergeCell ref="Q41:S41"/>
    <mergeCell ref="Q42:S42"/>
    <mergeCell ref="Q43:S43"/>
    <mergeCell ref="Q44:S44"/>
    <mergeCell ref="Q31:S31"/>
    <mergeCell ref="Q32:S32"/>
    <mergeCell ref="Q33:S33"/>
    <mergeCell ref="Q34:S34"/>
    <mergeCell ref="Q35:S35"/>
    <mergeCell ref="Q36:S36"/>
    <mergeCell ref="Q37:S37"/>
    <mergeCell ref="Q38:S38"/>
    <mergeCell ref="Q39:S39"/>
    <mergeCell ref="T18:W18"/>
    <mergeCell ref="T19:W19"/>
    <mergeCell ref="T20:W20"/>
    <mergeCell ref="T21:W21"/>
    <mergeCell ref="T22:W22"/>
    <mergeCell ref="T23:W23"/>
    <mergeCell ref="T24:W24"/>
    <mergeCell ref="T25:W25"/>
    <mergeCell ref="T26:W26"/>
    <mergeCell ref="X10:AE10"/>
    <mergeCell ref="X11:AE11"/>
    <mergeCell ref="X12:AE12"/>
    <mergeCell ref="X13:AE13"/>
    <mergeCell ref="X14:AE14"/>
    <mergeCell ref="X15:AE15"/>
    <mergeCell ref="X16:AE16"/>
    <mergeCell ref="X17:AE17"/>
    <mergeCell ref="X18:AE18"/>
    <mergeCell ref="X19:AE19"/>
    <mergeCell ref="X20:AE20"/>
    <mergeCell ref="X21:AE21"/>
    <mergeCell ref="X22:AE22"/>
    <mergeCell ref="X23:AE23"/>
    <mergeCell ref="X24:AE24"/>
    <mergeCell ref="X25:AE25"/>
    <mergeCell ref="X26:AE26"/>
    <mergeCell ref="X27:AE27"/>
    <mergeCell ref="X41:AE41"/>
    <mergeCell ref="X42:AE42"/>
    <mergeCell ref="AF38:AO38"/>
    <mergeCell ref="AF39:AO39"/>
    <mergeCell ref="AF40:AO40"/>
    <mergeCell ref="X43:AE43"/>
    <mergeCell ref="X44:AE44"/>
    <mergeCell ref="X28:AE28"/>
    <mergeCell ref="X29:AE29"/>
    <mergeCell ref="X30:AE30"/>
    <mergeCell ref="X31:AE31"/>
    <mergeCell ref="X32:AE32"/>
    <mergeCell ref="X33:AE33"/>
    <mergeCell ref="X34:AE34"/>
    <mergeCell ref="X35:AE35"/>
    <mergeCell ref="X36:AE36"/>
    <mergeCell ref="AF26:AO26"/>
    <mergeCell ref="U58:AB58"/>
    <mergeCell ref="AF10:AO10"/>
    <mergeCell ref="AF11:AO11"/>
    <mergeCell ref="AF12:AO12"/>
    <mergeCell ref="AF13:AO13"/>
    <mergeCell ref="AF14:AO14"/>
    <mergeCell ref="AF15:AO15"/>
    <mergeCell ref="AF16:AO16"/>
    <mergeCell ref="AF17:AO17"/>
    <mergeCell ref="AF18:AO18"/>
    <mergeCell ref="AF27:AO27"/>
    <mergeCell ref="AF28:AO28"/>
    <mergeCell ref="AF29:AO29"/>
    <mergeCell ref="AF30:AO30"/>
    <mergeCell ref="AF31:AO31"/>
    <mergeCell ref="X37:AE37"/>
    <mergeCell ref="X38:AE38"/>
    <mergeCell ref="X39:AE39"/>
    <mergeCell ref="X40:AE40"/>
    <mergeCell ref="AF34:AO34"/>
    <mergeCell ref="AF35:AO35"/>
    <mergeCell ref="AF36:AO36"/>
    <mergeCell ref="AF37:AO37"/>
    <mergeCell ref="A1:K1"/>
    <mergeCell ref="L1:AN1"/>
    <mergeCell ref="A47:L47"/>
    <mergeCell ref="A48:L50"/>
    <mergeCell ref="A51:L53"/>
    <mergeCell ref="A55:AE55"/>
    <mergeCell ref="A64:AE64"/>
    <mergeCell ref="AF64:AO64"/>
    <mergeCell ref="AF41:AO41"/>
    <mergeCell ref="AF42:AO42"/>
    <mergeCell ref="AF43:AO43"/>
    <mergeCell ref="AF44:AO44"/>
    <mergeCell ref="A9:K21"/>
    <mergeCell ref="A22:K30"/>
    <mergeCell ref="A31:K32"/>
    <mergeCell ref="A33:K39"/>
    <mergeCell ref="A40:K44"/>
    <mergeCell ref="AF32:AO32"/>
    <mergeCell ref="AF33:AO33"/>
    <mergeCell ref="AC59:AM59"/>
    <mergeCell ref="AC60:AM60"/>
    <mergeCell ref="AC61:AM61"/>
    <mergeCell ref="AC62:AM62"/>
    <mergeCell ref="AC63:AM63"/>
    <mergeCell ref="A6:P6"/>
    <mergeCell ref="K5:R5"/>
    <mergeCell ref="S4:AF5"/>
    <mergeCell ref="AG4:AO5"/>
    <mergeCell ref="K4:R4"/>
    <mergeCell ref="U61:AB61"/>
    <mergeCell ref="U62:AB62"/>
    <mergeCell ref="U63:AB63"/>
    <mergeCell ref="Q57:T57"/>
    <mergeCell ref="U57:AB57"/>
    <mergeCell ref="AC57:AM57"/>
    <mergeCell ref="Q58:T58"/>
    <mergeCell ref="Q59:T59"/>
    <mergeCell ref="Q60:T60"/>
    <mergeCell ref="Q61:T61"/>
    <mergeCell ref="Q62:T62"/>
    <mergeCell ref="Q63:T63"/>
    <mergeCell ref="AF19:AO19"/>
    <mergeCell ref="AF20:AO20"/>
    <mergeCell ref="AF21:AO21"/>
    <mergeCell ref="AF22:AO22"/>
    <mergeCell ref="AF23:AO23"/>
    <mergeCell ref="AF24:AO24"/>
    <mergeCell ref="AF25:AO25"/>
  </mergeCells>
  <printOptions horizontalCentered="1"/>
  <pageMargins left="0.25" right="0.25" top="0.5" bottom="0.62" header="0.3" footer="0.3"/>
  <pageSetup paperSize="9" orientation="portrait" r:id="rId1"/>
  <headerFooter alignWithMargins="0">
    <oddFooter>&amp;L_x000D_&amp;1#&amp;"Trebuchet MS"&amp;9&amp;K008542 INTERNA&amp;CPÁG. &amp;P / &amp;N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fc11224-b14a-4c3a-b138-98eb69f1b41c" xsi:nil="true"/>
    <lcf76f155ced4ddcb4097134ff3c332f xmlns="4ce1605e-f151-47ef-9cd7-0603f6370720">
      <Terms xmlns="http://schemas.microsoft.com/office/infopath/2007/PartnerControls"/>
    </lcf76f155ced4ddcb4097134ff3c332f>
    <ProjectNumber xmlns="7eac1663-37a1-4c1f-8ec0-82cde26daeca">1</ProjectNumber>
    <File_x0020_Owner xmlns="7eac1663-37a1-4c1f-8ec0-82cde26daeca">
      <UserInfo>
        <DisplayName/>
        <AccountId xsi:nil="true"/>
        <AccountType/>
      </UserInfo>
    </File_x0020_Owner>
    <Folder xmlns="7eac1663-37a1-4c1f-8ec0-82cde26daeca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CD0EBAD3E242947878C6EF08D0BB20D" ma:contentTypeVersion="23" ma:contentTypeDescription="Create a new document." ma:contentTypeScope="" ma:versionID="ba281c5e055cac555e83f7dc735c722f">
  <xsd:schema xmlns:xsd="http://www.w3.org/2001/XMLSchema" xmlns:xs="http://www.w3.org/2001/XMLSchema" xmlns:p="http://schemas.microsoft.com/office/2006/metadata/properties" xmlns:ns2="7eac1663-37a1-4c1f-8ec0-82cde26daeca" xmlns:ns3="4ce1605e-f151-47ef-9cd7-0603f6370720" xmlns:ns4="8fc11224-b14a-4c3a-b138-98eb69f1b41c" targetNamespace="http://schemas.microsoft.com/office/2006/metadata/properties" ma:root="true" ma:fieldsID="ef5f87eebd45d973bb4d5164398a760a" ns2:_="" ns3:_="" ns4:_="">
    <xsd:import namespace="7eac1663-37a1-4c1f-8ec0-82cde26daeca"/>
    <xsd:import namespace="4ce1605e-f151-47ef-9cd7-0603f6370720"/>
    <xsd:import namespace="8fc11224-b14a-4c3a-b138-98eb69f1b41c"/>
    <xsd:element name="properties">
      <xsd:complexType>
        <xsd:sequence>
          <xsd:element name="documentManagement">
            <xsd:complexType>
              <xsd:all>
                <xsd:element ref="ns2:Folder" minOccurs="0"/>
                <xsd:element ref="ns2:File_x0020_Owner" minOccurs="0"/>
                <xsd:element ref="ns2:ProjectNumber"/>
                <xsd:element ref="ns2:ProjectNumber_x003a_ClientName" minOccurs="0"/>
                <xsd:element ref="ns2:ProjectNumber_x003a_ProjectCategory" minOccurs="0"/>
                <xsd:element ref="ns2:ProjectNumber_x003a_ProjectName" minOccurs="0"/>
                <xsd:element ref="ns2:ProjectNumber_x003a_ResponsibilityCode" minOccurs="0"/>
                <xsd:element ref="ns2:ProjectNumber_x003a_Segment" minOccurs="0"/>
                <xsd:element ref="ns2:ProjectNumber_x003a_ServiceLine" minOccurs="0"/>
                <xsd:element ref="ns2:ProjectNumber_x003a_ProjectManagerName" minOccurs="0"/>
                <xsd:element ref="ns2:ProjectNumber_x003a_ProjectNumber" minOccurs="0"/>
                <xsd:element ref="ns2:ProjectNumber_x003a_PCMRegion" minOccurs="0"/>
                <xsd:element ref="ns2:Project_x0020_ID_x003a_ID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4:TaxCatchAll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ac1663-37a1-4c1f-8ec0-82cde26daeca" elementFormDefault="qualified">
    <xsd:import namespace="http://schemas.microsoft.com/office/2006/documentManagement/types"/>
    <xsd:import namespace="http://schemas.microsoft.com/office/infopath/2007/PartnerControls"/>
    <xsd:element name="Folder" ma:index="8" nillable="true" ma:displayName="Folder" ma:internalName="Folder">
      <xsd:simpleType>
        <xsd:restriction base="dms:Text">
          <xsd:maxLength value="255"/>
        </xsd:restriction>
      </xsd:simpleType>
    </xsd:element>
    <xsd:element name="File_x0020_Owner" ma:index="9" nillable="true" ma:displayName="File Owner" ma:list="UserInfo" ma:SharePointGroup="0" ma:internalName="File_x0020_Owner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ProjectNumber" ma:index="10" ma:displayName="Project ID" ma:default="1" ma:list="d56cc6eb-d051-4723-a84e-d1af6b355242" ma:internalName="ProjectNumber" ma:showField="ProjectNumber">
      <xsd:simpleType>
        <xsd:restriction base="dms:Lookup"/>
      </xsd:simpleType>
    </xsd:element>
    <xsd:element name="ProjectNumber_x003a_ClientName" ma:index="11" nillable="true" ma:displayName="Client Name" ma:list="d56cc6eb-d051-4723-a84e-d1af6b355242" ma:internalName="ProjectNumber_x003a_ClientName" ma:readOnly="true" ma:showField="ClientName" ma:web="8fc11224-b14a-4c3a-b138-98eb69f1b41c">
      <xsd:simpleType>
        <xsd:restriction base="dms:Lookup"/>
      </xsd:simpleType>
    </xsd:element>
    <xsd:element name="ProjectNumber_x003a_ProjectCategory" ma:index="12" nillable="true" ma:displayName="Project Category" ma:list="d56cc6eb-d051-4723-a84e-d1af6b355242" ma:internalName="ProjectNumber_x003a_ProjectCategory" ma:readOnly="true" ma:showField="ProjectCategory" ma:web="8fc11224-b14a-4c3a-b138-98eb69f1b41c">
      <xsd:simpleType>
        <xsd:restriction base="dms:Lookup"/>
      </xsd:simpleType>
    </xsd:element>
    <xsd:element name="ProjectNumber_x003a_ProjectName" ma:index="13" nillable="true" ma:displayName="Project Name" ma:list="d56cc6eb-d051-4723-a84e-d1af6b355242" ma:internalName="ProjectNumber_x003a_ProjectName" ma:readOnly="true" ma:showField="ProjectName" ma:web="8fc11224-b14a-4c3a-b138-98eb69f1b41c">
      <xsd:simpleType>
        <xsd:restriction base="dms:Lookup"/>
      </xsd:simpleType>
    </xsd:element>
    <xsd:element name="ProjectNumber_x003a_ResponsibilityCode" ma:index="14" nillable="true" ma:displayName="Responsibility Code" ma:list="d56cc6eb-d051-4723-a84e-d1af6b355242" ma:internalName="ProjectNumber_x003a_ResponsibilityCode" ma:readOnly="true" ma:showField="ResponsibilityCode" ma:web="8fc11224-b14a-4c3a-b138-98eb69f1b41c">
      <xsd:simpleType>
        <xsd:restriction base="dms:Lookup"/>
      </xsd:simpleType>
    </xsd:element>
    <xsd:element name="ProjectNumber_x003a_Segment" ma:index="15" nillable="true" ma:displayName="Segment" ma:list="d56cc6eb-d051-4723-a84e-d1af6b355242" ma:internalName="ProjectNumber_x003a_Segment" ma:readOnly="true" ma:showField="Segment" ma:web="8fc11224-b14a-4c3a-b138-98eb69f1b41c">
      <xsd:simpleType>
        <xsd:restriction base="dms:Lookup"/>
      </xsd:simpleType>
    </xsd:element>
    <xsd:element name="ProjectNumber_x003a_ServiceLine" ma:index="16" nillable="true" ma:displayName="Service Line" ma:list="d56cc6eb-d051-4723-a84e-d1af6b355242" ma:internalName="ProjectNumber_x003a_ServiceLine" ma:readOnly="true" ma:showField="ServiceLine" ma:web="8fc11224-b14a-4c3a-b138-98eb69f1b41c">
      <xsd:simpleType>
        <xsd:restriction base="dms:Lookup"/>
      </xsd:simpleType>
    </xsd:element>
    <xsd:element name="ProjectNumber_x003a_ProjectManagerName" ma:index="17" nillable="true" ma:displayName="Project Manager" ma:list="d56cc6eb-d051-4723-a84e-d1af6b355242" ma:internalName="ProjectNumber_x003a_ProjectManagerName" ma:readOnly="true" ma:showField="ProjectManagerName" ma:web="8fc11224-b14a-4c3a-b138-98eb69f1b41c">
      <xsd:simpleType>
        <xsd:restriction base="dms:Lookup"/>
      </xsd:simpleType>
    </xsd:element>
    <xsd:element name="ProjectNumber_x003a_ProjectNumber" ma:index="18" nillable="true" ma:displayName="Project ID" ma:description="Display Project_Number" ma:list="d56cc6eb-d051-4723-a84e-d1af6b355242" ma:internalName="ProjectNumber_x003a_ProjectNumber" ma:readOnly="true" ma:showField="ProjectNumber" ma:web="8fc11224-b14a-4c3a-b138-98eb69f1b41c">
      <xsd:simpleType>
        <xsd:restriction base="dms:Lookup"/>
      </xsd:simpleType>
    </xsd:element>
    <xsd:element name="ProjectNumber_x003a_PCMRegion" ma:index="19" nillable="true" ma:displayName="PCM Region" ma:list="d56cc6eb-d051-4723-a84e-d1af6b355242" ma:internalName="ProjectNumber_x003a_PCMRegion" ma:readOnly="true" ma:showField="PCMRegion" ma:web="8fc11224-b14a-4c3a-b138-98eb69f1b41c">
      <xsd:simpleType>
        <xsd:restriction base="dms:Lookup"/>
      </xsd:simpleType>
    </xsd:element>
    <xsd:element name="Project_x0020_ID_x003a_ID" ma:index="20" nillable="true" ma:displayName="Project ID:ID" ma:list="d56cc6eb-d051-4723-a84e-d1af6b355242" ma:internalName="Project_x0020_ID_x003a_ID" ma:readOnly="true" ma:showField="ID" ma:web="8fc11224-b14a-4c3a-b138-98eb69f1b41c">
      <xsd:simpleType>
        <xsd:restriction base="dms:Lookup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ce1605e-f151-47ef-9cd7-0603f637072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2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8" nillable="true" ma:taxonomy="true" ma:internalName="lcf76f155ced4ddcb4097134ff3c332f" ma:taxonomyFieldName="MediaServiceImageTags" ma:displayName="Image Tags" ma:readOnly="false" ma:fieldId="{5cf76f15-5ced-4ddc-b409-7134ff3c332f}" ma:taxonomyMulti="true" ma:sspId="b57a5ef2-ccd9-450d-814a-721f2f82285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3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fc11224-b14a-4c3a-b138-98eb69f1b41c" elementFormDefault="qualified">
    <xsd:import namespace="http://schemas.microsoft.com/office/2006/documentManagement/types"/>
    <xsd:import namespace="http://schemas.microsoft.com/office/infopath/2007/PartnerControls"/>
    <xsd:element name="TaxCatchAll" ma:index="29" nillable="true" ma:displayName="Taxonomy Catch All Column" ma:hidden="true" ma:list="{d17ac629-29fe-4372-9ce6-e33c4f347bb3}" ma:internalName="TaxCatchAll" ma:showField="CatchAllData" ma:web="8fc11224-b14a-4c3a-b138-98eb69f1b41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3AE623E-DC43-4258-8DE1-402D7660235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6A25AE6-5C7B-430D-9BED-53BE5E474E24}">
  <ds:schemaRefs>
    <ds:schemaRef ds:uri="http://schemas.microsoft.com/office/2006/metadata/properties"/>
    <ds:schemaRef ds:uri="http://schemas.microsoft.com/office/infopath/2007/PartnerControls"/>
    <ds:schemaRef ds:uri="8fc11224-b14a-4c3a-b138-98eb69f1b41c"/>
    <ds:schemaRef ds:uri="4ce1605e-f151-47ef-9cd7-0603f6370720"/>
    <ds:schemaRef ds:uri="7eac1663-37a1-4c1f-8ec0-82cde26daeca"/>
  </ds:schemaRefs>
</ds:datastoreItem>
</file>

<file path=customXml/itemProps3.xml><?xml version="1.0" encoding="utf-8"?>
<ds:datastoreItem xmlns:ds="http://schemas.openxmlformats.org/officeDocument/2006/customXml" ds:itemID="{9AB20552-83E7-47B4-B320-FF467FFA481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eac1663-37a1-4c1f-8ec0-82cde26daeca"/>
    <ds:schemaRef ds:uri="4ce1605e-f151-47ef-9cd7-0603f6370720"/>
    <ds:schemaRef ds:uri="8fc11224-b14a-4c3a-b138-98eb69f1b41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97525e9a-595d-472c-8248-0dc58f852d61}" enabled="0" method="" siteId="{97525e9a-595d-472c-8248-0dc58f852d61}" removed="1"/>
  <clbl:label id="{cdac03a7-e156-4c4b-b35d-d580a54520fa}" enabled="1" method="Privileged" siteId="{5b6f6241-9a57-4be4-8e50-1dfa72e79a5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Orçamento de Fabricação</vt:lpstr>
    </vt:vector>
  </TitlesOfParts>
  <Manager/>
  <Company>Petrobras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Petrobras</dc:creator>
  <cp:keywords/>
  <dc:description/>
  <cp:lastModifiedBy>Raphael Costa</cp:lastModifiedBy>
  <cp:revision/>
  <dcterms:created xsi:type="dcterms:W3CDTF">2010-06-09T18:36:36Z</dcterms:created>
  <dcterms:modified xsi:type="dcterms:W3CDTF">2026-08-31T23:32:01Z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0x010100BCD0EBAD3E242947878C6EF08D0BB20D</vt:lpwstr>
  </property>
  <property fmtid="{D5CDD505-2E9C-101B-9397-08002B2CF9AE}" pid="3" name="MediaServiceImageTags">
    <vt:lpwstr/>
  </property>
</Properties>
</file>